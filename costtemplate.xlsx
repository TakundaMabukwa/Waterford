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STING"/>
    <sheet r:id="rId2" sheetId="2" name="FUEL TABLE"/>
    <sheet r:id="rId3" sheetId="3" name="P&amp;amp;L"/>
  </sheets>
  <definedNames>
    <definedName name="_xlnm.Print_Area" localSheetId="0">COSTING!$A$1:$Z$4</definedName>
  </definedNames>
  <calcPr fullCalcOnLoad="1"/>
</workbook>
</file>

<file path=xl/sharedStrings.xml><?xml version="1.0" encoding="utf-8"?>
<sst xmlns="http://schemas.openxmlformats.org/spreadsheetml/2006/main" count="133" uniqueCount="103">
  <si>
    <t>CURRENT STATUS QUO</t>
  </si>
  <si>
    <t>FIXED COSTS</t>
  </si>
  <si>
    <t>COUNT</t>
  </si>
  <si>
    <t>RATE</t>
  </si>
  <si>
    <t>VALUE</t>
  </si>
  <si>
    <t>P.DAY</t>
  </si>
  <si>
    <t>LINKS</t>
  </si>
  <si>
    <t>14METER</t>
  </si>
  <si>
    <t>14TON</t>
  </si>
  <si>
    <t>9METERS</t>
  </si>
  <si>
    <t>8TON</t>
  </si>
  <si>
    <t>SHUNTER</t>
  </si>
  <si>
    <t>VARIANCE</t>
  </si>
  <si>
    <t>SIMLUATION #1</t>
  </si>
  <si>
    <t>FUEL LEVY - REEF- JHB RDC</t>
  </si>
  <si>
    <t>FUEL CONSUMPTION KM/L</t>
  </si>
  <si>
    <t>AUGUST</t>
  </si>
  <si>
    <t>SEPTEMBER</t>
  </si>
  <si>
    <t>OCTOBER</t>
  </si>
  <si>
    <t>type</t>
  </si>
  <si>
    <t>qty</t>
  </si>
  <si>
    <t>revenue</t>
  </si>
  <si>
    <t>Contr.</t>
  </si>
  <si>
    <t>value per h</t>
  </si>
  <si>
    <t>contr.</t>
  </si>
  <si>
    <t>MONTH</t>
  </si>
  <si>
    <t>Fuel Price</t>
  </si>
  <si>
    <t>% change</t>
  </si>
  <si>
    <t>LINK</t>
  </si>
  <si>
    <t>15M</t>
  </si>
  <si>
    <t>REEFER</t>
  </si>
  <si>
    <t>9M</t>
  </si>
  <si>
    <t>4TON</t>
  </si>
  <si>
    <t>1TON</t>
  </si>
  <si>
    <t>REV.LOG</t>
  </si>
  <si>
    <t>2.8TON</t>
  </si>
  <si>
    <t>Bakkies</t>
  </si>
  <si>
    <t>1.5ton</t>
  </si>
  <si>
    <t>5ton</t>
  </si>
  <si>
    <t>8ton</t>
  </si>
  <si>
    <t>9m</t>
  </si>
  <si>
    <t>14ton</t>
  </si>
  <si>
    <t>15m</t>
  </si>
  <si>
    <t>Link</t>
  </si>
  <si>
    <t>#</t>
  </si>
  <si>
    <t>DAYS</t>
  </si>
  <si>
    <t>KMS</t>
  </si>
  <si>
    <t>TRUCK</t>
  </si>
  <si>
    <t>TRAILER</t>
  </si>
  <si>
    <t>OVERHEADS</t>
  </si>
  <si>
    <t>TOTAL COST</t>
  </si>
  <si>
    <t>PROFIT AMOUNT</t>
  </si>
  <si>
    <t>REVENUE PER VEHICLE</t>
  </si>
  <si>
    <t>CLIENT</t>
  </si>
  <si>
    <t>FIXED</t>
  </si>
  <si>
    <t>VARIABLE</t>
  </si>
  <si>
    <t>Profit Margin</t>
  </si>
  <si>
    <t>cpk on Cost</t>
  </si>
  <si>
    <t>cpk on Revenue</t>
  </si>
  <si>
    <t>TOTAL FIXED COST</t>
  </si>
  <si>
    <t>TOTAL VARIABLE COST</t>
  </si>
  <si>
    <t>PPK</t>
  </si>
  <si>
    <t>RATE CARD INFO</t>
  </si>
  <si>
    <t xml:space="preserve">LOADING POINT: </t>
  </si>
  <si>
    <t>HP / DEPR</t>
  </si>
  <si>
    <t>TRACKING</t>
  </si>
  <si>
    <t>LICENCE</t>
  </si>
  <si>
    <t>INSURANCE</t>
  </si>
  <si>
    <t>R&amp;M</t>
  </si>
  <si>
    <t>BREAKDOWNS</t>
  </si>
  <si>
    <t>DIESEL</t>
  </si>
  <si>
    <t>TOLLS</t>
  </si>
  <si>
    <t>X-BRDR</t>
  </si>
  <si>
    <t>ADMIN</t>
  </si>
  <si>
    <t>DRIVER / BASIC</t>
  </si>
  <si>
    <t>OVERTIME &amp; ALLOW</t>
  </si>
  <si>
    <t>FUEL R</t>
  </si>
  <si>
    <t>BASE R</t>
  </si>
  <si>
    <t>TRANSPORT</t>
  </si>
  <si>
    <t>EXTRA STOP</t>
  </si>
  <si>
    <t>TOTAL TRANSPORT</t>
  </si>
  <si>
    <t>EMPTY KM</t>
  </si>
  <si>
    <t>TAUTLINER</t>
  </si>
  <si>
    <t>.</t>
  </si>
  <si>
    <t>TAUT X-BRDER - BOTSWANA</t>
  </si>
  <si>
    <t>TAUT X-BRDER - NAMIBIA</t>
  </si>
  <si>
    <t>CITRUS LOAD (+1 DAY STANDING FPT)</t>
  </si>
  <si>
    <t>14M/15M COMBO (NEW)</t>
  </si>
  <si>
    <t>14M/15M REEFER</t>
  </si>
  <si>
    <t>9 METER (NEW)</t>
  </si>
  <si>
    <t>8T JHB (NEW - EPS)</t>
  </si>
  <si>
    <t>8T JHB (NEW) - X-BRDER - MOZ</t>
  </si>
  <si>
    <t>8T JHB (OLD)</t>
  </si>
  <si>
    <t>14 TON CURTAIN</t>
  </si>
  <si>
    <t>1TON BAKKIE</t>
  </si>
  <si>
    <t>INSTRUCTION:</t>
  </si>
  <si>
    <t>Yellow = input cell</t>
  </si>
  <si>
    <t>Change kms as per the route requirement</t>
  </si>
  <si>
    <t>Change PPK as per what you (Ludwig / Evert) requires</t>
  </si>
  <si>
    <t>Excel will calculate transport rate, show profit value and profit margin</t>
  </si>
  <si>
    <t>NOTES:</t>
  </si>
  <si>
    <t>HP CALCULATED AT NEW VEHICLE PRICE 70% NEW 30% OLD</t>
  </si>
  <si>
    <t>DRIVER WAGES INCREASED 7.5% ACROSS 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</si>
</sst>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5">
    <numFmt numFmtId="164" formatCode="#,##0.00%"/>
    <numFmt numFmtId="165" formatCode="#,##0%"/>
    <numFmt numFmtId="166" formatCode="#,##0.0000"/>
    <numFmt numFmtId="167" formatCode="#,##0.0"/>
    <numFmt numFmtId="168" formatCode="#,##0.0%"/>
  </numFmts>
  <fonts count="11" x14ac:knownFonts="1">
    <font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070c0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2f0d9"/>
      </patternFill>
    </fill>
    <fill>
      <patternFill patternType="solid">
        <fgColor rgb="FFdeebf7"/>
      </patternFill>
    </fill>
    <fill>
      <patternFill patternType="solid">
        <fgColor rgb="FFfff2cc"/>
      </patternFill>
    </fill>
    <fill>
      <patternFill patternType="solid">
        <fgColor rgb="FFdbdbdb"/>
      </patternFill>
    </fill>
    <fill>
      <patternFill patternType="solid">
        <fgColor rgb="FFffff00"/>
      </patternFill>
    </fill>
    <fill>
      <patternFill patternType="solid">
        <fgColor rgb="FFffe699"/>
      </patternFill>
    </fill>
    <fill>
      <patternFill patternType="solid">
        <fgColor rgb="FFfbe5d6"/>
      </patternFill>
    </fill>
    <fill>
      <patternFill patternType="solid">
        <fgColor rgb="FFbdd7ee"/>
      </patternFill>
    </fill>
    <fill>
      <patternFill patternType="solid">
        <fgColor rgb="FFc5e0b4"/>
      </patternFill>
    </fill>
  </fills>
  <borders count="1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4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3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2" applyBorder="1" fontId="4" applyFont="1" fillId="0" applyAlignment="1">
      <alignment horizontal="left"/>
    </xf>
    <xf xfId="0" numFmtId="3" applyNumberFormat="1" borderId="2" applyBorder="1" fontId="5" applyFont="1" fillId="0" applyAlignment="1">
      <alignment horizontal="left"/>
    </xf>
    <xf xfId="0" numFmtId="4" applyNumberFormat="1" borderId="2" applyBorder="1" fontId="5" applyFont="1" fillId="0" applyAlignment="1">
      <alignment horizontal="right"/>
    </xf>
    <xf xfId="0" numFmtId="4" applyNumberFormat="1" borderId="2" applyBorder="1" fontId="4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7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165" applyNumberFormat="1" borderId="0" fontId="0" fillId="0" applyAlignment="1">
      <alignment horizontal="general"/>
    </xf>
    <xf xfId="0" numFmtId="17" applyNumberFormat="1" borderId="3" applyBorder="1" fontId="2" applyFont="1" fillId="0" applyAlignment="1">
      <alignment horizontal="center"/>
    </xf>
    <xf xfId="0" numFmtId="4" applyNumberFormat="1" borderId="4" applyBorder="1" fontId="2" applyFont="1" fillId="0" applyAlignment="1">
      <alignment horizontal="center"/>
    </xf>
    <xf xfId="0" numFmtId="164" applyNumberFormat="1" borderId="5" applyBorder="1" fontId="2" applyFont="1" fillId="0" applyAlignment="1">
      <alignment horizontal="center"/>
    </xf>
    <xf xfId="0" numFmtId="17" applyNumberFormat="1" borderId="2" applyBorder="1" fontId="6" applyFont="1" fillId="0" applyAlignment="1">
      <alignment horizontal="left"/>
    </xf>
    <xf xfId="0" numFmtId="4" applyNumberFormat="1" borderId="2" applyBorder="1" fontId="6" applyFont="1" fillId="0" applyAlignment="1">
      <alignment horizontal="left"/>
    </xf>
    <xf xfId="0" numFmtId="164" applyNumberFormat="1" borderId="2" applyBorder="1" fontId="6" applyFont="1" fillId="0" applyAlignment="1">
      <alignment horizontal="left"/>
    </xf>
    <xf xfId="0" numFmtId="17" applyNumberFormat="1" borderId="6" applyBorder="1" fontId="6" applyFont="1" fillId="0" applyAlignment="1">
      <alignment horizontal="left"/>
    </xf>
    <xf xfId="0" numFmtId="4" applyNumberFormat="1" borderId="7" applyBorder="1" fontId="6" applyFont="1" fillId="0" applyAlignment="1">
      <alignment horizontal="left"/>
    </xf>
    <xf xfId="0" numFmtId="164" applyNumberFormat="1" borderId="8" applyBorder="1" fontId="6" applyFont="1" fillId="0" applyAlignment="1">
      <alignment horizontal="left"/>
    </xf>
    <xf xfId="0" numFmtId="4" applyNumberFormat="1" borderId="9" applyBorder="1" fontId="3" applyFont="1" fillId="0" applyAlignment="1">
      <alignment horizontal="right"/>
    </xf>
    <xf xfId="0" numFmtId="0" borderId="9" applyBorder="1" fontId="3" applyFont="1" fillId="0" applyAlignment="1">
      <alignment horizontal="left"/>
    </xf>
    <xf xfId="0" numFmtId="3" applyNumberFormat="1" borderId="9" applyBorder="1" fontId="3" applyFont="1" fillId="0" applyAlignment="1">
      <alignment horizontal="left"/>
    </xf>
    <xf xfId="0" numFmtId="3" applyNumberFormat="1" borderId="10" applyBorder="1" fontId="1" applyFont="1" fillId="3" applyFill="1" applyAlignment="1">
      <alignment horizontal="center"/>
    </xf>
    <xf xfId="0" numFmtId="3" applyNumberFormat="1" borderId="11" applyBorder="1" fontId="1" applyFont="1" fillId="3" applyFill="1" applyAlignment="1">
      <alignment horizontal="center"/>
    </xf>
    <xf xfId="0" numFmtId="165" applyNumberFormat="1" borderId="11" applyBorder="1" fontId="1" applyFont="1" fillId="3" applyFill="1" applyAlignment="1">
      <alignment horizontal="center"/>
    </xf>
    <xf xfId="0" numFmtId="3" applyNumberFormat="1" borderId="12" applyBorder="1" fontId="1" applyFont="1" fillId="3" applyFill="1" applyAlignment="1">
      <alignment horizontal="center"/>
    </xf>
    <xf xfId="0" numFmtId="0" borderId="9" applyBorder="1" fontId="1" applyFont="1" fillId="4" applyFill="1" applyAlignment="1">
      <alignment horizontal="center"/>
    </xf>
    <xf xfId="0" numFmtId="0" borderId="9" applyBorder="1" fontId="1" applyFont="1" fillId="5" applyFill="1" applyAlignment="1">
      <alignment horizontal="center"/>
    </xf>
    <xf xfId="0" numFmtId="0" borderId="9" applyBorder="1" fontId="1" applyFont="1" fillId="0" applyAlignment="1">
      <alignment horizontal="center"/>
    </xf>
    <xf xfId="0" numFmtId="3" applyNumberFormat="1" borderId="9" applyBorder="1" fontId="1" applyFont="1" fillId="0" applyAlignment="1">
      <alignment horizontal="right"/>
    </xf>
    <xf xfId="0" numFmtId="3" applyNumberFormat="1" borderId="9" applyBorder="1" fontId="1" applyFont="1" fillId="3" applyFill="1" applyAlignment="1">
      <alignment horizontal="right"/>
    </xf>
    <xf xfId="0" numFmtId="165" applyNumberFormat="1" borderId="9" applyBorder="1" fontId="1" applyFont="1" fillId="3" applyFill="1" applyAlignment="1">
      <alignment horizontal="right"/>
    </xf>
    <xf xfId="0" numFmtId="0" borderId="9" applyBorder="1" fontId="1" applyFont="1" fillId="4" applyFill="1" applyAlignment="1">
      <alignment horizontal="right"/>
    </xf>
    <xf xfId="0" numFmtId="0" borderId="9" applyBorder="1" fontId="1" applyFont="1" fillId="5" applyFill="1" applyAlignment="1">
      <alignment horizontal="right"/>
    </xf>
    <xf xfId="0" numFmtId="17" applyNumberFormat="1" borderId="9" applyBorder="1" fontId="1" applyFont="1" fillId="0" applyAlignment="1">
      <alignment horizontal="center"/>
    </xf>
    <xf xfId="0" numFmtId="4" applyNumberFormat="1" borderId="9" applyBorder="1" fontId="1" applyFont="1" fillId="0" applyAlignment="1">
      <alignment horizontal="center"/>
    </xf>
    <xf xfId="0" numFmtId="164" applyNumberFormat="1" borderId="9" applyBorder="1" fontId="1" applyFont="1" fillId="0" applyAlignment="1">
      <alignment horizontal="center"/>
    </xf>
    <xf xfId="0" numFmtId="4" applyNumberFormat="1" borderId="9" applyBorder="1" fontId="1" applyFont="1" fillId="0" applyAlignment="1">
      <alignment horizontal="right"/>
    </xf>
    <xf xfId="0" numFmtId="0" borderId="9" applyBorder="1" fontId="3" applyFont="1" fillId="0" applyAlignment="1">
      <alignment horizontal="center"/>
    </xf>
    <xf xfId="0" numFmtId="3" applyNumberFormat="1" borderId="9" applyBorder="1" fontId="3" applyFont="1" fillId="3" applyFill="1" applyAlignment="1">
      <alignment horizontal="right"/>
    </xf>
    <xf xfId="0" numFmtId="164" applyNumberFormat="1" borderId="9" applyBorder="1" fontId="3" applyFont="1" fillId="3" applyFill="1" applyAlignment="1">
      <alignment horizontal="right"/>
    </xf>
    <xf xfId="0" numFmtId="3" applyNumberFormat="1" borderId="9" applyBorder="1" fontId="3" applyFont="1" fillId="4" applyFill="1" applyAlignment="1">
      <alignment horizontal="right"/>
    </xf>
    <xf xfId="0" numFmtId="3" applyNumberFormat="1" borderId="9" applyBorder="1" fontId="3" applyFont="1" fillId="5" applyFill="1" applyAlignment="1">
      <alignment horizontal="right"/>
    </xf>
    <xf xfId="0" numFmtId="17" applyNumberFormat="1" borderId="9" applyBorder="1" fontId="3" applyFont="1" fillId="0" applyAlignment="1">
      <alignment horizontal="center"/>
    </xf>
    <xf xfId="0" numFmtId="166" applyNumberFormat="1" borderId="9" applyBorder="1" fontId="6" applyFont="1" fillId="0" applyAlignment="1">
      <alignment horizontal="center"/>
    </xf>
    <xf xfId="0" numFmtId="164" applyNumberFormat="1" borderId="9" applyBorder="1" fontId="6" applyFont="1" fillId="0" applyAlignment="1">
      <alignment horizontal="center"/>
    </xf>
    <xf xfId="0" numFmtId="166" applyNumberFormat="1" borderId="9" applyBorder="1" fontId="3" applyFont="1" fillId="0" applyAlignment="1">
      <alignment horizontal="center"/>
    </xf>
    <xf xfId="0" numFmtId="0" borderId="9" applyBorder="1" fontId="2" applyFont="1" fillId="0" applyAlignment="1">
      <alignment horizontal="center"/>
    </xf>
    <xf xfId="0" numFmtId="3" applyNumberFormat="1" borderId="9" applyBorder="1" fontId="2" applyFont="1" fillId="0" applyAlignment="1">
      <alignment horizontal="right"/>
    </xf>
    <xf xfId="0" numFmtId="3" applyNumberFormat="1" borderId="9" applyBorder="1" fontId="2" applyFont="1" fillId="3" applyFill="1" applyAlignment="1">
      <alignment horizontal="right"/>
    </xf>
    <xf xfId="0" numFmtId="165" applyNumberFormat="1" borderId="9" applyBorder="1" fontId="2" applyFont="1" fillId="3" applyFill="1" applyAlignment="1">
      <alignment horizontal="right"/>
    </xf>
    <xf xfId="0" numFmtId="3" applyNumberFormat="1" borderId="9" applyBorder="1" fontId="2" applyFont="1" fillId="4" applyFill="1" applyAlignment="1">
      <alignment horizontal="right"/>
    </xf>
    <xf xfId="0" numFmtId="3" applyNumberFormat="1" borderId="9" applyBorder="1" fontId="2" applyFont="1" fillId="5" applyFill="1" applyAlignment="1">
      <alignment horizontal="right"/>
    </xf>
    <xf xfId="0" numFmtId="3" applyNumberFormat="1" borderId="2" applyBorder="1" fontId="3" applyFont="1" fillId="0" applyAlignment="1">
      <alignment horizontal="center"/>
    </xf>
    <xf xfId="0" numFmtId="166" applyNumberFormat="1" borderId="9" applyBorder="1" fontId="3" applyFont="1" fillId="0" applyAlignment="1">
      <alignment horizontal="right"/>
    </xf>
    <xf xfId="0" numFmtId="4" applyNumberFormat="1" borderId="9" applyBorder="1" fontId="3" applyFont="1" fillId="0" applyAlignment="1">
      <alignment horizontal="left"/>
    </xf>
    <xf xfId="0" numFmtId="17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165" applyNumberFormat="1" borderId="0" fontId="0" fillId="0" applyAlignment="1">
      <alignment horizontal="general"/>
    </xf>
    <xf xfId="0" numFmtId="3" applyNumberFormat="1" borderId="9" applyBorder="1" fontId="7" applyFont="1" fillId="2" applyFill="1" applyAlignment="1">
      <alignment horizontal="center"/>
    </xf>
    <xf xfId="0" numFmtId="17" applyNumberFormat="1" borderId="9" applyBorder="1" fontId="7" applyFont="1" fillId="2" applyFill="1" applyAlignment="1">
      <alignment horizontal="left" wrapText="1"/>
    </xf>
    <xf xfId="0" numFmtId="3" applyNumberFormat="1" borderId="9" applyBorder="1" fontId="7" applyFont="1" fillId="2" applyFill="1" applyAlignment="1">
      <alignment horizontal="center" vertical="top" wrapText="1"/>
    </xf>
    <xf xfId="0" numFmtId="167" applyNumberFormat="1" borderId="9" applyBorder="1" fontId="7" applyFont="1" fillId="2" applyFill="1" applyAlignment="1">
      <alignment horizontal="center" vertical="top" wrapText="1"/>
    </xf>
    <xf xfId="0" numFmtId="4" applyNumberFormat="1" borderId="9" applyBorder="1" fontId="7" applyFont="1" fillId="2" applyFill="1" applyAlignment="1">
      <alignment horizontal="center"/>
    </xf>
    <xf xfId="0" numFmtId="168" applyNumberFormat="1" borderId="9" applyBorder="1" fontId="7" applyFont="1" fillId="2" applyFill="1" applyAlignment="1">
      <alignment horizontal="center"/>
    </xf>
    <xf xfId="0" numFmtId="4" applyNumberFormat="1" borderId="9" applyBorder="1" fontId="7" applyFont="1" fillId="2" applyFill="1" applyAlignment="1">
      <alignment horizontal="center" vertical="top" wrapText="1"/>
    </xf>
    <xf xfId="0" numFmtId="4" applyNumberFormat="1" borderId="9" applyBorder="1" fontId="7" applyFont="1" fillId="2" applyFill="1" applyAlignment="1">
      <alignment horizontal="center" wrapText="1"/>
    </xf>
    <xf xfId="0" numFmtId="4" applyNumberFormat="1" borderId="2" applyBorder="1" fontId="7" applyFont="1" fillId="0" applyAlignment="1">
      <alignment horizontal="right"/>
    </xf>
    <xf xfId="0" numFmtId="14" applyNumberFormat="1" borderId="2" applyBorder="1" fontId="4" applyFont="1" fillId="0" applyAlignment="1">
      <alignment horizontal="left"/>
    </xf>
    <xf xfId="0" numFmtId="17" applyNumberFormat="1" borderId="9" applyBorder="1" fontId="7" applyFont="1" fillId="2" applyFill="1" applyAlignment="1">
      <alignment horizontal="left"/>
    </xf>
    <xf xfId="0" numFmtId="3" applyNumberFormat="1" borderId="9" applyBorder="1" fontId="7" applyFont="1" fillId="2" applyFill="1" applyAlignment="1">
      <alignment horizontal="center" wrapText="1"/>
    </xf>
    <xf xfId="0" numFmtId="167" applyNumberFormat="1" borderId="9" applyBorder="1" fontId="7" applyFont="1" fillId="2" applyFill="1" applyAlignment="1">
      <alignment horizontal="center" wrapText="1"/>
    </xf>
    <xf xfId="0" numFmtId="168" applyNumberFormat="1" borderId="9" applyBorder="1" fontId="7" applyFont="1" fillId="2" applyFill="1" applyAlignment="1">
      <alignment horizontal="center" vertical="top" wrapText="1"/>
    </xf>
    <xf xfId="0" numFmtId="4" applyNumberFormat="1" borderId="10" applyBorder="1" fontId="8" applyFont="1" fillId="6" applyFill="1" applyAlignment="1">
      <alignment horizontal="center"/>
    </xf>
    <xf xfId="0" numFmtId="4" applyNumberFormat="1" borderId="11" applyBorder="1" fontId="8" applyFont="1" fillId="6" applyFill="1" applyAlignment="1">
      <alignment horizontal="center"/>
    </xf>
    <xf xfId="0" numFmtId="4" applyNumberFormat="1" borderId="12" applyBorder="1" fontId="8" applyFont="1" fillId="6" applyFill="1" applyAlignment="1">
      <alignment horizontal="center"/>
    </xf>
    <xf xfId="0" numFmtId="0" borderId="2" applyBorder="1" fontId="9" applyFont="1" fillId="0" applyAlignment="1">
      <alignment horizontal="left"/>
    </xf>
    <xf xfId="0" numFmtId="4" applyNumberFormat="1" borderId="2" applyBorder="1" fontId="9" applyFont="1" fillId="0" applyAlignment="1">
      <alignment horizontal="left"/>
    </xf>
    <xf xfId="0" numFmtId="17" applyNumberFormat="1" borderId="9" applyBorder="1" fontId="10" applyFont="1" fillId="2" applyFill="1" applyAlignment="1">
      <alignment horizontal="left"/>
    </xf>
    <xf xfId="0" numFmtId="168" applyNumberFormat="1" borderId="9" applyBorder="1" fontId="7" applyFont="1" fillId="2" applyFill="1" applyAlignment="1">
      <alignment horizontal="center" wrapText="1"/>
    </xf>
    <xf xfId="0" numFmtId="4" applyNumberFormat="1" borderId="9" applyBorder="1" fontId="8" applyFont="1" fillId="2" applyFill="1" applyAlignment="1">
      <alignment horizontal="center" wrapText="1"/>
    </xf>
    <xf xfId="0" numFmtId="0" borderId="9" applyBorder="1" fontId="8" applyFont="1" fillId="2" applyFill="1" applyAlignment="1">
      <alignment horizontal="center" wrapText="1"/>
    </xf>
    <xf xfId="0" numFmtId="3" applyNumberFormat="1" borderId="9" applyBorder="1" fontId="9" applyFont="1" fillId="0" applyAlignment="1">
      <alignment horizontal="center"/>
    </xf>
    <xf xfId="0" numFmtId="17" applyNumberFormat="1" borderId="9" applyBorder="1" fontId="9" applyFont="1" fillId="0" applyAlignment="1">
      <alignment horizontal="left" wrapText="1"/>
    </xf>
    <xf xfId="0" numFmtId="3" applyNumberFormat="1" borderId="9" applyBorder="1" fontId="9" applyFont="1" fillId="0" applyAlignment="1">
      <alignment horizontal="right"/>
    </xf>
    <xf xfId="0" numFmtId="167" applyNumberFormat="1" borderId="9" applyBorder="1" fontId="9" applyFont="1" fillId="0" applyAlignment="1">
      <alignment horizontal="right"/>
    </xf>
    <xf xfId="0" numFmtId="3" applyNumberFormat="1" borderId="9" applyBorder="1" fontId="9" applyFont="1" fillId="7" applyFill="1" applyAlignment="1">
      <alignment horizontal="right"/>
    </xf>
    <xf xfId="0" numFmtId="4" applyNumberFormat="1" borderId="9" applyBorder="1" fontId="9" applyFont="1" fillId="0" applyAlignment="1">
      <alignment horizontal="right"/>
    </xf>
    <xf xfId="0" numFmtId="168" applyNumberFormat="1" borderId="9" applyBorder="1" fontId="9" applyFont="1" fillId="0" applyAlignment="1">
      <alignment horizontal="right"/>
    </xf>
    <xf xfId="0" numFmtId="4" applyNumberFormat="1" borderId="9" applyBorder="1" fontId="9" applyFont="1" fillId="7" applyFill="1" applyAlignment="1">
      <alignment horizontal="right"/>
    </xf>
    <xf xfId="0" numFmtId="0" borderId="9" applyBorder="1" fontId="9" applyFont="1" fillId="0" applyAlignment="1">
      <alignment horizontal="left"/>
    </xf>
    <xf xfId="0" numFmtId="3" applyNumberFormat="1" borderId="2" applyBorder="1" fontId="9" applyFont="1" fillId="0" applyAlignment="1">
      <alignment horizontal="center"/>
    </xf>
    <xf xfId="0" numFmtId="17" applyNumberFormat="1" borderId="0" fontId="0" fillId="0" applyAlignment="1">
      <alignment horizontal="general"/>
    </xf>
    <xf xfId="0" numFmtId="167" applyNumberFormat="1" borderId="2" applyBorder="1" fontId="9" applyFont="1" fillId="0" applyAlignment="1">
      <alignment horizontal="left"/>
    </xf>
    <xf xfId="0" numFmtId="4" applyNumberFormat="1" borderId="2" applyBorder="1" fontId="9" applyFont="1" fillId="0" applyAlignment="1">
      <alignment horizontal="right"/>
    </xf>
    <xf xfId="0" numFmtId="168" applyNumberFormat="1" borderId="2" applyBorder="1" fontId="9" applyFont="1" fillId="0" applyAlignment="1">
      <alignment horizontal="right"/>
    </xf>
    <xf xfId="0" numFmtId="3" applyNumberFormat="1" borderId="9" applyBorder="1" fontId="9" applyFont="1" fillId="8" applyFill="1" applyAlignment="1">
      <alignment horizontal="center"/>
    </xf>
    <xf xfId="0" numFmtId="17" applyNumberFormat="1" borderId="9" applyBorder="1" fontId="9" applyFont="1" fillId="8" applyFill="1" applyAlignment="1">
      <alignment horizontal="left" wrapText="1"/>
    </xf>
    <xf xfId="0" numFmtId="3" applyNumberFormat="1" borderId="9" applyBorder="1" fontId="9" applyFont="1" fillId="8" applyFill="1" applyAlignment="1">
      <alignment horizontal="right"/>
    </xf>
    <xf xfId="0" numFmtId="167" applyNumberFormat="1" borderId="9" applyBorder="1" fontId="9" applyFont="1" fillId="8" applyFill="1" applyAlignment="1">
      <alignment horizontal="right"/>
    </xf>
    <xf xfId="0" numFmtId="4" applyNumberFormat="1" borderId="9" applyBorder="1" fontId="9" applyFont="1" fillId="8" applyFill="1" applyAlignment="1">
      <alignment horizontal="right"/>
    </xf>
    <xf xfId="0" numFmtId="168" applyNumberFormat="1" borderId="9" applyBorder="1" fontId="9" applyFont="1" fillId="8" applyFill="1" applyAlignment="1">
      <alignment horizontal="right"/>
    </xf>
    <xf xfId="0" numFmtId="167" applyNumberFormat="1" borderId="2" applyBorder="1" fontId="9" applyFont="1" fillId="0" applyAlignment="1">
      <alignment horizontal="right"/>
    </xf>
    <xf xfId="0" numFmtId="4" applyNumberFormat="1" borderId="9" applyBorder="1" fontId="9" applyFont="1" fillId="9" applyFill="1" applyAlignment="1">
      <alignment horizontal="right"/>
    </xf>
    <xf xfId="0" numFmtId="17" applyNumberFormat="1" borderId="9" applyBorder="1" fontId="9" applyFont="1" fillId="0" applyAlignment="1">
      <alignment horizontal="left"/>
    </xf>
    <xf xfId="0" numFmtId="4" applyNumberFormat="1" borderId="0" fontId="0" fillId="0" applyAlignment="1">
      <alignment horizontal="center"/>
    </xf>
    <xf xfId="0" numFmtId="168" applyNumberFormat="1" borderId="0" fontId="0" fillId="0" applyAlignment="1">
      <alignment horizontal="general"/>
    </xf>
    <xf xfId="0" numFmtId="3" applyNumberFormat="1" borderId="9" applyBorder="1" fontId="9" applyFont="1" fillId="10" applyFill="1" applyAlignment="1">
      <alignment horizontal="center"/>
    </xf>
    <xf xfId="0" numFmtId="17" applyNumberFormat="1" borderId="9" applyBorder="1" fontId="9" applyFont="1" fillId="10" applyFill="1" applyAlignment="1">
      <alignment horizontal="left"/>
    </xf>
    <xf xfId="0" numFmtId="3" applyNumberFormat="1" borderId="9" applyBorder="1" fontId="9" applyFont="1" fillId="10" applyFill="1" applyAlignment="1">
      <alignment horizontal="right"/>
    </xf>
    <xf xfId="0" numFmtId="4" applyNumberFormat="1" borderId="9" applyBorder="1" fontId="9" applyFont="1" fillId="10" applyFill="1" applyAlignment="1">
      <alignment horizontal="right"/>
    </xf>
    <xf xfId="0" numFmtId="168" applyNumberFormat="1" borderId="9" applyBorder="1" fontId="9" applyFont="1" fillId="10" applyFill="1" applyAlignment="1">
      <alignment horizontal="right"/>
    </xf>
    <xf xfId="0" numFmtId="17" applyNumberFormat="1" borderId="9" applyBorder="1" fontId="9" applyFont="1" fillId="8" applyFill="1" applyAlignment="1">
      <alignment horizontal="left"/>
    </xf>
    <xf xfId="0" numFmtId="3" applyNumberFormat="1" borderId="9" applyBorder="1" fontId="9" applyFont="1" fillId="11" applyFill="1" applyAlignment="1">
      <alignment horizontal="center"/>
    </xf>
    <xf xfId="0" numFmtId="17" applyNumberFormat="1" borderId="9" applyBorder="1" fontId="9" applyFont="1" fillId="11" applyFill="1" applyAlignment="1">
      <alignment horizontal="left"/>
    </xf>
    <xf xfId="0" numFmtId="3" applyNumberFormat="1" borderId="9" applyBorder="1" fontId="9" applyFont="1" fillId="11" applyFill="1" applyAlignment="1">
      <alignment horizontal="right"/>
    </xf>
    <xf xfId="0" numFmtId="4" applyNumberFormat="1" borderId="9" applyBorder="1" fontId="9" applyFont="1" fillId="11" applyFill="1" applyAlignment="1">
      <alignment horizontal="right"/>
    </xf>
    <xf xfId="0" numFmtId="168" applyNumberFormat="1" borderId="9" applyBorder="1" fontId="9" applyFont="1" fillId="11" applyFill="1" applyAlignment="1">
      <alignment horizontal="right"/>
    </xf>
    <xf xfId="0" numFmtId="3" applyNumberFormat="1" borderId="2" applyBorder="1" fontId="9" applyFont="1" fillId="0" applyAlignment="1">
      <alignment horizontal="right"/>
    </xf>
    <xf xfId="0" numFmtId="167" applyNumberFormat="1" borderId="0" fontId="0" fillId="0" applyAlignment="1">
      <alignment horizontal="general"/>
    </xf>
    <xf xfId="0" numFmtId="17" applyNumberFormat="1" borderId="2" applyBorder="1" fontId="10" applyFont="1" fillId="0" applyAlignment="1">
      <alignment horizontal="left"/>
    </xf>
    <xf xfId="0" numFmtId="4" applyNumberFormat="1" borderId="2" applyBorder="1" fontId="5" applyFont="1" fillId="0" applyAlignment="1">
      <alignment horizontal="center"/>
    </xf>
    <xf xfId="0" numFmtId="17" applyNumberFormat="1" borderId="1" applyBorder="1" fontId="9" applyFont="1" fillId="7" applyFill="1" applyAlignment="1">
      <alignment horizontal="left"/>
    </xf>
    <xf xfId="0" numFmtId="17" applyNumberFormat="1" borderId="2" applyBorder="1" fontId="9" applyFont="1" fillId="0" applyAlignment="1">
      <alignment horizontal="left"/>
    </xf>
    <xf xfId="0" numFmtId="17" applyNumberFormat="1" borderId="0" fontId="0" fillId="0" applyAlignment="1">
      <alignment horizontal="general"/>
    </xf>
    <xf xfId="0" numFmtId="167" applyNumberFormat="1" borderId="0" fontId="0" fillId="0" applyAlignment="1">
      <alignment horizontal="general"/>
    </xf>
    <xf xfId="0" numFmtId="4" applyNumberFormat="1" borderId="0" fontId="0" fillId="0" applyAlignment="1">
      <alignment horizontal="center"/>
    </xf>
    <xf xfId="0" numFmtId="168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43"/>
  <sheetViews>
    <sheetView workbookViewId="0" tabSelected="1">
      <pane state="frozen" activePane="bottomLeft" topLeftCell="A4" ySplit="3" xSplit="0"/>
    </sheetView>
  </sheetViews>
  <sheetFormatPr defaultRowHeight="15" x14ac:dyDescent="0.25"/>
  <cols>
    <col min="1" max="1" style="20" width="3.5764285714285715" customWidth="1" bestFit="1"/>
    <col min="2" max="2" style="140" width="36.71928571428572" customWidth="1" bestFit="1"/>
    <col min="3" max="3" style="20" width="2.005" customWidth="1" bestFit="1"/>
    <col min="4" max="4" style="141" width="5.862142857142857" customWidth="1" bestFit="1"/>
    <col min="5" max="5" style="20" width="7.719285714285714" customWidth="1" bestFit="1"/>
    <col min="6" max="6" style="21" width="13.576428571428572" customWidth="1" bestFit="1" hidden="1"/>
    <col min="7" max="7" style="21" width="13.576428571428572" customWidth="1" bestFit="1" hidden="1"/>
    <col min="8" max="8" style="21" width="13.576428571428572" customWidth="1" bestFit="1" hidden="1"/>
    <col min="9" max="9" style="21" width="13.576428571428572" customWidth="1" bestFit="1" hidden="1"/>
    <col min="10" max="10" style="21" width="13.576428571428572" customWidth="1" bestFit="1" hidden="1"/>
    <col min="11" max="11" style="21" width="13.576428571428572" customWidth="1" bestFit="1" hidden="1"/>
    <col min="12" max="12" style="21" width="13.576428571428572" customWidth="1" bestFit="1" hidden="1"/>
    <col min="13" max="13" style="21" width="13.576428571428572" customWidth="1" bestFit="1" hidden="1"/>
    <col min="14" max="14" style="21" width="13.576428571428572" customWidth="1" bestFit="1" hidden="1"/>
    <col min="15" max="15" style="21" width="13.576428571428572" customWidth="1" bestFit="1" hidden="1"/>
    <col min="16" max="16" style="21" width="13.576428571428572" customWidth="1" bestFit="1" hidden="1"/>
    <col min="17" max="17" style="21" width="13.576428571428572" customWidth="1" bestFit="1" hidden="1"/>
    <col min="18" max="18" style="142" width="13.576428571428572" customWidth="1" bestFit="1" hidden="1"/>
    <col min="19" max="19" style="21" width="13.576428571428572" customWidth="1" bestFit="1" hidden="1"/>
    <col min="20" max="20" style="21" width="13.576428571428572" customWidth="1" bestFit="1" hidden="1"/>
    <col min="21" max="21" style="143" width="11.005" customWidth="1" bestFit="1"/>
    <col min="22" max="22" style="21" width="13.576428571428572" customWidth="1" bestFit="1" hidden="1"/>
    <col min="23" max="23" style="21" width="13.576428571428572" customWidth="1" bestFit="1" hidden="1"/>
    <col min="24" max="24" style="21" width="13.576428571428572" customWidth="1" bestFit="1" hidden="1"/>
    <col min="25" max="25" style="21" width="13.576428571428572" customWidth="1" bestFit="1" hidden="1"/>
    <col min="26" max="26" style="21" width="11.290714285714287" customWidth="1" bestFit="1"/>
    <col min="27" max="27" style="21" width="10.290714285714287" customWidth="1" bestFit="1"/>
    <col min="28" max="28" style="21" width="13.290714285714287" customWidth="1" bestFit="1"/>
    <col min="29" max="29" style="21" width="6.862142857142857" customWidth="1" bestFit="1"/>
    <col min="30" max="30" style="21" width="12.005" customWidth="1" bestFit="1"/>
    <col min="31" max="31" style="21" width="13.005" customWidth="1" bestFit="1"/>
    <col min="32" max="32" style="21" width="12.147857142857141" customWidth="1" bestFit="1"/>
    <col min="33" max="33" style="19" width="11.719285714285713" customWidth="1" bestFit="1"/>
    <col min="34" max="34" style="21" width="14.005" customWidth="1" bestFit="1"/>
    <col min="35" max="35" style="19" width="25.719285714285714" customWidth="1" bestFit="1"/>
  </cols>
  <sheetData>
    <row x14ac:dyDescent="0.25" r="1" customHeight="1" ht="18.75">
      <c r="A1" s="75"/>
      <c r="B1" s="76"/>
      <c r="C1" s="77" t="s">
        <v>44</v>
      </c>
      <c r="D1" s="78" t="s">
        <v>45</v>
      </c>
      <c r="E1" s="77" t="s">
        <v>46</v>
      </c>
      <c r="F1" s="79" t="s">
        <v>47</v>
      </c>
      <c r="G1" s="79"/>
      <c r="H1" s="79"/>
      <c r="I1" s="79"/>
      <c r="J1" s="79"/>
      <c r="K1" s="79"/>
      <c r="L1" s="79"/>
      <c r="M1" s="79"/>
      <c r="N1" s="79" t="s">
        <v>48</v>
      </c>
      <c r="O1" s="79"/>
      <c r="P1" s="79"/>
      <c r="Q1" s="79"/>
      <c r="R1" s="79" t="s">
        <v>49</v>
      </c>
      <c r="S1" s="79"/>
      <c r="T1" s="79"/>
      <c r="U1" s="80"/>
      <c r="V1" s="79"/>
      <c r="W1" s="79"/>
      <c r="X1" s="79"/>
      <c r="Y1" s="79"/>
      <c r="Z1" s="81" t="s">
        <v>50</v>
      </c>
      <c r="AA1" s="81" t="s">
        <v>51</v>
      </c>
      <c r="AB1" s="81" t="s">
        <v>52</v>
      </c>
      <c r="AC1" s="82"/>
      <c r="AD1" s="83"/>
      <c r="AE1" s="84">
        <f>TODAY()</f>
        <v>25569.083333333332</v>
      </c>
      <c r="AF1" s="83"/>
      <c r="AG1" s="1"/>
      <c r="AH1" s="3"/>
      <c r="AI1" s="1"/>
    </row>
    <row x14ac:dyDescent="0.25" r="2" customHeight="1" ht="18.75">
      <c r="A2" s="75"/>
      <c r="B2" s="85" t="s">
        <v>53</v>
      </c>
      <c r="C2" s="86"/>
      <c r="D2" s="87"/>
      <c r="E2" s="86"/>
      <c r="F2" s="79" t="s">
        <v>54</v>
      </c>
      <c r="G2" s="79"/>
      <c r="H2" s="79"/>
      <c r="I2" s="79"/>
      <c r="J2" s="79" t="s">
        <v>55</v>
      </c>
      <c r="K2" s="79"/>
      <c r="L2" s="79"/>
      <c r="M2" s="79"/>
      <c r="N2" s="79" t="s">
        <v>54</v>
      </c>
      <c r="O2" s="79"/>
      <c r="P2" s="79"/>
      <c r="Q2" s="79" t="s">
        <v>54</v>
      </c>
      <c r="R2" s="79" t="s">
        <v>54</v>
      </c>
      <c r="S2" s="79"/>
      <c r="T2" s="79" t="s">
        <v>55</v>
      </c>
      <c r="U2" s="88" t="s">
        <v>56</v>
      </c>
      <c r="V2" s="81" t="s">
        <v>57</v>
      </c>
      <c r="W2" s="81" t="s">
        <v>58</v>
      </c>
      <c r="X2" s="81" t="s">
        <v>59</v>
      </c>
      <c r="Y2" s="81" t="s">
        <v>60</v>
      </c>
      <c r="Z2" s="82"/>
      <c r="AA2" s="82"/>
      <c r="AB2" s="82"/>
      <c r="AC2" s="82" t="s">
        <v>61</v>
      </c>
      <c r="AD2" s="89" t="s">
        <v>62</v>
      </c>
      <c r="AE2" s="90"/>
      <c r="AF2" s="91"/>
      <c r="AG2" s="92"/>
      <c r="AH2" s="93"/>
      <c r="AI2" s="1"/>
    </row>
    <row x14ac:dyDescent="0.25" r="3" customHeight="1" ht="18.75">
      <c r="A3" s="75"/>
      <c r="B3" s="94" t="s">
        <v>63</v>
      </c>
      <c r="C3" s="86"/>
      <c r="D3" s="87"/>
      <c r="E3" s="86"/>
      <c r="F3" s="79" t="s">
        <v>64</v>
      </c>
      <c r="G3" s="79" t="s">
        <v>65</v>
      </c>
      <c r="H3" s="79" t="s">
        <v>66</v>
      </c>
      <c r="I3" s="79" t="s">
        <v>67</v>
      </c>
      <c r="J3" s="79" t="s">
        <v>68</v>
      </c>
      <c r="K3" s="79" t="s">
        <v>69</v>
      </c>
      <c r="L3" s="79" t="s">
        <v>70</v>
      </c>
      <c r="M3" s="79" t="s">
        <v>71</v>
      </c>
      <c r="N3" s="79" t="s">
        <v>64</v>
      </c>
      <c r="O3" s="79" t="s">
        <v>66</v>
      </c>
      <c r="P3" s="79" t="s">
        <v>67</v>
      </c>
      <c r="Q3" s="79" t="s">
        <v>72</v>
      </c>
      <c r="R3" s="79" t="s">
        <v>73</v>
      </c>
      <c r="S3" s="82" t="s">
        <v>74</v>
      </c>
      <c r="T3" s="82" t="s">
        <v>75</v>
      </c>
      <c r="U3" s="95"/>
      <c r="V3" s="82"/>
      <c r="W3" s="82"/>
      <c r="X3" s="82"/>
      <c r="Y3" s="82"/>
      <c r="Z3" s="82"/>
      <c r="AA3" s="82"/>
      <c r="AB3" s="82"/>
      <c r="AC3" s="82"/>
      <c r="AD3" s="96" t="s">
        <v>76</v>
      </c>
      <c r="AE3" s="96" t="s">
        <v>77</v>
      </c>
      <c r="AF3" s="96" t="s">
        <v>78</v>
      </c>
      <c r="AG3" s="97" t="s">
        <v>79</v>
      </c>
      <c r="AH3" s="96" t="s">
        <v>80</v>
      </c>
      <c r="AI3" s="97" t="s">
        <v>81</v>
      </c>
    </row>
    <row x14ac:dyDescent="0.25" r="4" customHeight="1" ht="20.25">
      <c r="A4" s="98">
        <v>1</v>
      </c>
      <c r="B4" s="99" t="s">
        <v>82</v>
      </c>
      <c r="C4" s="100">
        <v>1</v>
      </c>
      <c r="D4" s="101">
        <f>_xlfn.IFS(E4&lt;200,0.5,E4&lt;750,1,E4&lt;1125,1.5,E4&lt;1500,2,E4&lt;1875,2.5,E4&lt;2250,3,E4&lt;2625,3.5,E4&lt;3000,4,E4&lt;3375,4.5)</f>
      </c>
      <c r="E4" s="102">
        <v>420</v>
      </c>
      <c r="F4" s="103">
        <v>22000</v>
      </c>
      <c r="G4" s="103">
        <v>1800</v>
      </c>
      <c r="H4" s="103">
        <v>1295.87</v>
      </c>
      <c r="I4" s="103">
        <f>SUM(6350+5755+160)</f>
      </c>
      <c r="J4" s="103">
        <v>1.65</v>
      </c>
      <c r="K4" s="103">
        <v>0.06</v>
      </c>
      <c r="L4" s="103">
        <f>VLOOKUP($B$37,'FUEL TABLE'!B:K,4,FALSE)</f>
      </c>
      <c r="M4" s="103">
        <v>1.15</v>
      </c>
      <c r="N4" s="103">
        <v>12000</v>
      </c>
      <c r="O4" s="103">
        <v>1695</v>
      </c>
      <c r="P4" s="103">
        <v>1270</v>
      </c>
      <c r="Q4" s="103">
        <v>0</v>
      </c>
      <c r="R4" s="103">
        <v>28000</v>
      </c>
      <c r="S4" s="103">
        <f>SUM(14253+2256)*1.04*1.3</f>
      </c>
      <c r="T4" s="103">
        <v>1.7</v>
      </c>
      <c r="U4" s="104">
        <f>SUM(AA4/AB4)</f>
      </c>
      <c r="V4" s="103">
        <f>SUM(Z4/E4)</f>
      </c>
      <c r="W4" s="103">
        <f>SUM(AB4/E4)</f>
      </c>
      <c r="X4" s="103">
        <f>SUM(F4+G4+H4+I4+N4+O4+P4+R4+S4)/25*D4</f>
      </c>
      <c r="Y4" s="103">
        <f>SUM(J4+L4+M4+Q4+T4+K4)</f>
      </c>
      <c r="Z4" s="103">
        <f>SUM(X4+SUM(Y4*E4))</f>
      </c>
      <c r="AA4" s="103">
        <f>SUM(AC4*E4)</f>
      </c>
      <c r="AB4" s="103">
        <f>SUM(Z4:AA4)</f>
      </c>
      <c r="AC4" s="105">
        <v>3</v>
      </c>
      <c r="AD4" s="103">
        <f>ROUNDUP(SUM(E4*L4),-1)</f>
      </c>
      <c r="AE4" s="103">
        <f>SUM(AF4-AD4)</f>
      </c>
      <c r="AF4" s="103">
        <f>ROUNDUP(AB4,-1)</f>
      </c>
      <c r="AG4" s="103"/>
      <c r="AH4" s="103">
        <f>+AF4+AG4</f>
      </c>
      <c r="AI4" s="106"/>
    </row>
    <row x14ac:dyDescent="0.25" r="5" customHeight="1" ht="18.75">
      <c r="A5" s="107"/>
      <c r="B5" s="108"/>
      <c r="C5" s="2"/>
      <c r="D5" s="109" t="s">
        <v>83</v>
      </c>
      <c r="E5" s="2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1"/>
      <c r="V5" s="110"/>
      <c r="W5" s="110"/>
      <c r="X5" s="110"/>
      <c r="Y5" s="110"/>
      <c r="Z5" s="110"/>
      <c r="AA5" s="110"/>
      <c r="AB5" s="110"/>
      <c r="AC5" s="3"/>
      <c r="AD5" s="110"/>
      <c r="AE5" s="110"/>
      <c r="AF5" s="110"/>
      <c r="AG5" s="110"/>
      <c r="AH5" s="110"/>
      <c r="AI5" s="1"/>
    </row>
    <row x14ac:dyDescent="0.25" r="6" customHeight="1" ht="20.25">
      <c r="A6" s="112">
        <v>2</v>
      </c>
      <c r="B6" s="113" t="s">
        <v>84</v>
      </c>
      <c r="C6" s="114">
        <v>1</v>
      </c>
      <c r="D6" s="115">
        <f>_xlfn.IFS(E6&lt;200,0.5,E6&lt;750,1,E6&lt;1125,1.5,E6&lt;1500,2,E6&lt;1875,2.5,E6&lt;2250,3,E6&lt;2625,3.5,E6&lt;3000,4,E6&lt;3375,4.5)+1</f>
      </c>
      <c r="E6" s="102">
        <f>SUM(405*2)</f>
      </c>
      <c r="F6" s="116">
        <v>10000</v>
      </c>
      <c r="G6" s="116">
        <v>1800</v>
      </c>
      <c r="H6" s="116">
        <f>SUM(1565.22+17340)/12</f>
      </c>
      <c r="I6" s="116">
        <f>SUM(6350+5755+160)</f>
      </c>
      <c r="J6" s="116">
        <v>1.65</v>
      </c>
      <c r="K6" s="116">
        <v>0.06</v>
      </c>
      <c r="L6" s="116">
        <f>VLOOKUP($B$37,'FUEL TABLE'!B:K,4,FALSE)</f>
      </c>
      <c r="M6" s="116">
        <f>SUM(605/810)</f>
      </c>
      <c r="N6" s="116">
        <v>12000</v>
      </c>
      <c r="O6" s="116">
        <v>1695</v>
      </c>
      <c r="P6" s="116">
        <v>1270</v>
      </c>
      <c r="Q6" s="116">
        <v>650</v>
      </c>
      <c r="R6" s="116">
        <v>28000</v>
      </c>
      <c r="S6" s="116">
        <f>SUM(14253+2256)*1.04*1.3</f>
      </c>
      <c r="T6" s="116">
        <v>1.7</v>
      </c>
      <c r="U6" s="117">
        <f>SUM(AA6/AB6)</f>
      </c>
      <c r="V6" s="116">
        <f>SUM(Z6/E6)</f>
      </c>
      <c r="W6" s="116">
        <f>SUM(AB6/E6)</f>
      </c>
      <c r="X6" s="116">
        <f>SUM(F6+G6+H6+I6+N6+O6+P6+R6+S6)/25*D6</f>
      </c>
      <c r="Y6" s="116">
        <f>SUM(J6+L6+M6+T6+K6)</f>
      </c>
      <c r="Z6" s="116">
        <f>SUM(X6+SUM(Y6*E6))+Q6</f>
      </c>
      <c r="AA6" s="116">
        <f>SUM(AC6*E6)</f>
      </c>
      <c r="AB6" s="116">
        <f>SUM(Z6:AA6)</f>
      </c>
      <c r="AC6" s="105">
        <v>5</v>
      </c>
      <c r="AD6" s="103">
        <f>ROUNDUP(SUM(E6*L6),-1)</f>
      </c>
      <c r="AE6" s="103">
        <f>SUM(AF6-AD6)</f>
      </c>
      <c r="AF6" s="103">
        <f>ROUNDUP(AB6,-1)</f>
      </c>
      <c r="AG6" s="103"/>
      <c r="AH6" s="103">
        <f>+AF6+AG6</f>
      </c>
      <c r="AI6" s="106"/>
    </row>
    <row x14ac:dyDescent="0.25" r="7" customHeight="1" ht="18.75">
      <c r="A7" s="107"/>
      <c r="B7" s="108"/>
      <c r="C7" s="2"/>
      <c r="D7" s="118"/>
      <c r="E7" s="2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1"/>
      <c r="V7" s="110"/>
      <c r="W7" s="110"/>
      <c r="X7" s="110"/>
      <c r="Y7" s="110"/>
      <c r="Z7" s="110"/>
      <c r="AA7" s="110"/>
      <c r="AB7" s="110"/>
      <c r="AC7" s="3"/>
      <c r="AD7" s="110"/>
      <c r="AE7" s="110"/>
      <c r="AF7" s="110"/>
      <c r="AG7" s="110"/>
      <c r="AH7" s="110"/>
      <c r="AI7" s="1"/>
    </row>
    <row x14ac:dyDescent="0.25" r="8" customHeight="1" ht="20.25">
      <c r="A8" s="112">
        <v>3</v>
      </c>
      <c r="B8" s="113" t="s">
        <v>85</v>
      </c>
      <c r="C8" s="114">
        <v>1</v>
      </c>
      <c r="D8" s="115">
        <f>_xlfn.IFS(E8&lt;200,0.5,E8&lt;750,1,E8&lt;1125,1.5,E8&lt;1500,2,E8&lt;1875,2.5,E8&lt;2250,3,E8&lt;2625,3.5,E8&lt;3000,4,E8&lt;3375,4.5)+1</f>
      </c>
      <c r="E8" s="102">
        <v>2100</v>
      </c>
      <c r="F8" s="116">
        <v>10000</v>
      </c>
      <c r="G8" s="116">
        <v>1800</v>
      </c>
      <c r="H8" s="116">
        <f>SUM(1565.22+17340)/12</f>
      </c>
      <c r="I8" s="116">
        <f>SUM(6350+5755+160)</f>
      </c>
      <c r="J8" s="116">
        <v>1.65</v>
      </c>
      <c r="K8" s="116">
        <v>0.06</v>
      </c>
      <c r="L8" s="116">
        <f>VLOOKUP($B$37,'FUEL TABLE'!B:K,4,FALSE)</f>
      </c>
      <c r="M8" s="116">
        <f>SUM(3100/2100)</f>
      </c>
      <c r="N8" s="116">
        <v>12000</v>
      </c>
      <c r="O8" s="116">
        <v>1695</v>
      </c>
      <c r="P8" s="116">
        <v>1270</v>
      </c>
      <c r="Q8" s="116">
        <v>1500</v>
      </c>
      <c r="R8" s="116">
        <v>28000</v>
      </c>
      <c r="S8" s="116">
        <f>SUM(14253+2256)*1.04*1.3</f>
      </c>
      <c r="T8" s="116">
        <v>1.7</v>
      </c>
      <c r="U8" s="117">
        <f>SUM(AA8/AB8)</f>
      </c>
      <c r="V8" s="116">
        <f>SUM(Z8/E8)</f>
      </c>
      <c r="W8" s="116">
        <f>SUM(AB8/E8)</f>
      </c>
      <c r="X8" s="116">
        <f>SUM(F8+G8+H8+I8+N8+O8+P8+R8+S8)/25*D8</f>
      </c>
      <c r="Y8" s="116">
        <f>SUM(J8+L8+M8+T8+K8)</f>
      </c>
      <c r="Z8" s="116">
        <f>SUM(X8+SUM(Y8*E8))+Q8</f>
      </c>
      <c r="AA8" s="116">
        <f>SUM(AC8*E8)</f>
      </c>
      <c r="AB8" s="116">
        <f>SUM(Z8:AA8)</f>
      </c>
      <c r="AC8" s="105">
        <v>5</v>
      </c>
      <c r="AD8" s="103">
        <f>ROUNDUP(SUM(E8*L8),-1)</f>
      </c>
      <c r="AE8" s="103">
        <f>SUM(AF8-AD8)</f>
      </c>
      <c r="AF8" s="103">
        <f>ROUNDUP(AB8,-1)</f>
      </c>
      <c r="AG8" s="103"/>
      <c r="AH8" s="103">
        <f>+AF8+AG8</f>
      </c>
      <c r="AI8" s="106"/>
    </row>
    <row x14ac:dyDescent="0.25" r="9" customHeight="1" ht="18.75">
      <c r="A9" s="107"/>
      <c r="B9" s="108"/>
      <c r="C9" s="2"/>
      <c r="D9" s="118"/>
      <c r="E9" s="2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1"/>
      <c r="V9" s="110"/>
      <c r="W9" s="110"/>
      <c r="X9" s="110"/>
      <c r="Y9" s="110"/>
      <c r="Z9" s="110"/>
      <c r="AA9" s="110"/>
      <c r="AB9" s="110"/>
      <c r="AC9" s="3"/>
      <c r="AD9" s="110"/>
      <c r="AE9" s="110"/>
      <c r="AF9" s="110"/>
      <c r="AG9" s="110"/>
      <c r="AH9" s="110"/>
      <c r="AI9" s="1"/>
    </row>
    <row x14ac:dyDescent="0.25" r="10" customHeight="1" ht="20.25">
      <c r="A10" s="98">
        <v>4</v>
      </c>
      <c r="B10" s="99" t="s">
        <v>86</v>
      </c>
      <c r="C10" s="100">
        <v>1</v>
      </c>
      <c r="D10" s="101">
        <f>_xlfn.IFS(E10&lt;200,0.5,E10&lt;750,1,E10&lt;1125,1.5,E10&lt;1500,2,E10&lt;1875,2.5,E10&lt;2250,3,E10&lt;2625,3.5,E10&lt;3000,4,E10&lt;3375,4.5)+1</f>
      </c>
      <c r="E10" s="102">
        <v>100</v>
      </c>
      <c r="F10" s="103">
        <v>22000</v>
      </c>
      <c r="G10" s="103">
        <v>1800</v>
      </c>
      <c r="H10" s="103">
        <v>1295.87</v>
      </c>
      <c r="I10" s="103">
        <f>SUM(6350+5755+160)</f>
      </c>
      <c r="J10" s="103">
        <v>1.65</v>
      </c>
      <c r="K10" s="103">
        <v>0.06</v>
      </c>
      <c r="L10" s="103">
        <f>VLOOKUP($B$37,'FUEL TABLE'!B:K,4,FALSE)</f>
      </c>
      <c r="M10" s="119">
        <v>1.52</v>
      </c>
      <c r="N10" s="103">
        <v>12000</v>
      </c>
      <c r="O10" s="103">
        <v>1695</v>
      </c>
      <c r="P10" s="103">
        <v>1270</v>
      </c>
      <c r="Q10" s="103">
        <v>0</v>
      </c>
      <c r="R10" s="103">
        <v>28000</v>
      </c>
      <c r="S10" s="103">
        <f>SUM(14253+2256)*1.04*1.3</f>
      </c>
      <c r="T10" s="103">
        <v>1.7</v>
      </c>
      <c r="U10" s="104">
        <f>SUM(AA10/AB10)</f>
      </c>
      <c r="V10" s="103">
        <f>SUM(Z10/E10)</f>
      </c>
      <c r="W10" s="103">
        <f>SUM(AB10/E10)</f>
      </c>
      <c r="X10" s="103">
        <f>SUM(F10+G10+H10+I10+N10+O10+P10+R10+S10)/25*D10</f>
      </c>
      <c r="Y10" s="103">
        <f>SUM(J10+L10+M10+Q10+T10+K10)</f>
      </c>
      <c r="Z10" s="103">
        <f>SUM(X10+SUM(Y10*E10))</f>
      </c>
      <c r="AA10" s="103">
        <f>SUM(AC10*E10)</f>
      </c>
      <c r="AB10" s="103">
        <f>SUM(Z10:AA10)</f>
      </c>
      <c r="AC10" s="105">
        <v>5</v>
      </c>
      <c r="AD10" s="103">
        <f>ROUNDUP(SUM(E10*L10),-1)</f>
      </c>
      <c r="AE10" s="103">
        <f>SUM(AF10-AD10)</f>
      </c>
      <c r="AF10" s="103">
        <f>ROUNDUP(AB10,-1)</f>
      </c>
      <c r="AG10" s="103"/>
      <c r="AH10" s="103">
        <f>+AF10+AG10</f>
      </c>
      <c r="AI10" s="106"/>
    </row>
    <row x14ac:dyDescent="0.25" r="11" customHeight="1" ht="18.75">
      <c r="A11" s="107"/>
      <c r="B11" s="108"/>
      <c r="C11" s="2"/>
      <c r="D11" s="118"/>
      <c r="E11" s="2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1"/>
      <c r="V11" s="110"/>
      <c r="W11" s="110"/>
      <c r="X11" s="110"/>
      <c r="Y11" s="110"/>
      <c r="Z11" s="110"/>
      <c r="AA11" s="110"/>
      <c r="AB11" s="110"/>
      <c r="AC11" s="3"/>
      <c r="AD11" s="110"/>
      <c r="AE11" s="110"/>
      <c r="AF11" s="110"/>
      <c r="AG11" s="110"/>
      <c r="AH11" s="110"/>
      <c r="AI11" s="1"/>
    </row>
    <row x14ac:dyDescent="0.25" r="12" customHeight="1" ht="15.6">
      <c r="A12" s="98">
        <v>5</v>
      </c>
      <c r="B12" s="120" t="s">
        <v>87</v>
      </c>
      <c r="C12" s="100">
        <v>1</v>
      </c>
      <c r="D12" s="101">
        <f>_xlfn.IFS(E12&lt;200,0.5,E12&lt;750,1,E12&lt;1125,1.5,E12&lt;1500,2,E12&lt;1875,2.5,E12&lt;2250,3,E12&lt;2625,3.5,E12&lt;3000,4,E12&lt;3375,4.5)</f>
      </c>
      <c r="E12" s="102">
        <v>100</v>
      </c>
      <c r="F12" s="103">
        <v>22000</v>
      </c>
      <c r="G12" s="103">
        <v>1800</v>
      </c>
      <c r="H12" s="103">
        <v>1295.87</v>
      </c>
      <c r="I12" s="103">
        <f>SUM(6350+5755+160)</f>
      </c>
      <c r="J12" s="103">
        <v>0.9</v>
      </c>
      <c r="K12" s="103">
        <v>0.06</v>
      </c>
      <c r="L12" s="103">
        <f>VLOOKUP($B$37,'FUEL TABLE'!B:K,5,FALSE)</f>
      </c>
      <c r="M12" s="103">
        <v>0.82</v>
      </c>
      <c r="N12" s="103">
        <v>8000</v>
      </c>
      <c r="O12" s="103">
        <v>1406</v>
      </c>
      <c r="P12" s="103">
        <v>650</v>
      </c>
      <c r="Q12" s="103">
        <v>0</v>
      </c>
      <c r="R12" s="103">
        <v>22000</v>
      </c>
      <c r="S12" s="103">
        <f>SUM(14253+2256)*1.04*1.3</f>
      </c>
      <c r="T12" s="103">
        <v>1.3</v>
      </c>
      <c r="U12" s="104">
        <f>SUM(AA12/AB12)</f>
      </c>
      <c r="V12" s="103">
        <f>SUM(Z12/E12)</f>
      </c>
      <c r="W12" s="103">
        <f>SUM(AB12/E12)</f>
      </c>
      <c r="X12" s="103">
        <f>SUM(F12+G12+H12+I12+N12+O12+P12+R12+S12)/25*D12</f>
      </c>
      <c r="Y12" s="103">
        <f>SUM(J12+L12+M12+Q12+T12+K12)</f>
      </c>
      <c r="Z12" s="103">
        <f>SUM(X12+SUM(Y12*E12))</f>
      </c>
      <c r="AA12" s="103">
        <f>SUM(AC12*E12)</f>
      </c>
      <c r="AB12" s="103">
        <f>SUM(Z12:AA12)</f>
      </c>
      <c r="AC12" s="105">
        <v>5</v>
      </c>
      <c r="AD12" s="103">
        <f>ROUNDUP(SUM(E12*L12),-1)</f>
      </c>
      <c r="AE12" s="103">
        <f>SUM(AF12-AD12)</f>
      </c>
      <c r="AF12" s="103">
        <f>ROUNDUP(AB12,-1)</f>
      </c>
      <c r="AG12" s="106"/>
      <c r="AH12" s="103">
        <f>+AF12+AG12</f>
      </c>
      <c r="AI12" s="106"/>
    </row>
    <row x14ac:dyDescent="0.25" r="13" customHeight="1" ht="18.75">
      <c r="A13" s="2"/>
      <c r="B13" s="108"/>
      <c r="C13" s="2"/>
      <c r="D13" s="118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121"/>
      <c r="S13" s="3"/>
      <c r="T13" s="3"/>
      <c r="U13" s="122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1"/>
      <c r="AH13" s="3"/>
      <c r="AI13" s="1"/>
    </row>
    <row x14ac:dyDescent="0.25" r="14" customHeight="1" ht="15.6">
      <c r="A14" s="98">
        <v>6</v>
      </c>
      <c r="B14" s="120" t="s">
        <v>88</v>
      </c>
      <c r="C14" s="100">
        <v>1</v>
      </c>
      <c r="D14" s="101">
        <f>_xlfn.IFS(E14&lt;200,0.5,E14&lt;750,1,E14&lt;1125,1.5,E14&lt;1500,2,E14&lt;1875,2.5,E14&lt;2250,3,E14&lt;2625,3.5,E14&lt;3000,4,E14&lt;3375,4.5)</f>
      </c>
      <c r="E14" s="102">
        <v>100</v>
      </c>
      <c r="F14" s="103">
        <v>22000</v>
      </c>
      <c r="G14" s="103">
        <v>1800</v>
      </c>
      <c r="H14" s="103">
        <v>1295.87</v>
      </c>
      <c r="I14" s="103">
        <f>SUM(6350+5755+160)</f>
      </c>
      <c r="J14" s="103">
        <v>0.9</v>
      </c>
      <c r="K14" s="103">
        <v>0.06</v>
      </c>
      <c r="L14" s="119">
        <f>VLOOKUP($B$37,'FUEL TABLE'!B:K,5,FALSE)+0.8</f>
      </c>
      <c r="M14" s="103">
        <v>0.82</v>
      </c>
      <c r="N14" s="119">
        <v>27000</v>
      </c>
      <c r="O14" s="103">
        <v>1406</v>
      </c>
      <c r="P14" s="103">
        <v>1533</v>
      </c>
      <c r="Q14" s="103">
        <v>0</v>
      </c>
      <c r="R14" s="103">
        <v>22000</v>
      </c>
      <c r="S14" s="103">
        <f>SUM(14253+2256)*1.04*1.3</f>
      </c>
      <c r="T14" s="103">
        <v>1.3</v>
      </c>
      <c r="U14" s="104">
        <f>SUM(AA14/AB14)</f>
      </c>
      <c r="V14" s="103">
        <f>SUM(Z14/E14)</f>
      </c>
      <c r="W14" s="103">
        <f>SUM(AB14/E14)</f>
      </c>
      <c r="X14" s="103">
        <f>SUM(F14+G14+H14+I14+N14+O14+P14+R14+S14)/25*D14</f>
      </c>
      <c r="Y14" s="103">
        <f>SUM(J14+L14+M14+Q14+T14+K14)</f>
      </c>
      <c r="Z14" s="103">
        <f>SUM(X14+SUM(Y14*E14))</f>
      </c>
      <c r="AA14" s="103">
        <f>SUM(AC14*E14)</f>
      </c>
      <c r="AB14" s="103">
        <f>SUM(Z14:AA14)</f>
      </c>
      <c r="AC14" s="105">
        <v>5</v>
      </c>
      <c r="AD14" s="103">
        <f>ROUNDUP(SUM(E14*L14),-1)</f>
      </c>
      <c r="AE14" s="103">
        <f>SUM(AF14-AD14)</f>
      </c>
      <c r="AF14" s="103">
        <f>ROUNDUP(AB14,-1)</f>
      </c>
      <c r="AG14" s="106"/>
      <c r="AH14" s="103">
        <f>+AF14+AG14</f>
      </c>
      <c r="AI14" s="106"/>
    </row>
    <row x14ac:dyDescent="0.25" r="15" customHeight="1" ht="18.75">
      <c r="A15" s="2"/>
      <c r="B15" s="108"/>
      <c r="C15" s="2"/>
      <c r="D15" s="118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121"/>
      <c r="S15" s="3"/>
      <c r="T15" s="3"/>
      <c r="U15" s="122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1"/>
      <c r="AH15" s="3"/>
      <c r="AI15" s="1"/>
    </row>
    <row x14ac:dyDescent="0.25" r="16" customHeight="1" ht="18.75">
      <c r="A16" s="98">
        <v>7</v>
      </c>
      <c r="B16" s="120" t="s">
        <v>89</v>
      </c>
      <c r="C16" s="100">
        <v>1</v>
      </c>
      <c r="D16" s="101">
        <f>_xlfn.IFS(E16&lt;200,0.5,E16&lt;750,1,E16&lt;1125,1.5,E16&lt;1500,2,E16&lt;1875,2.5,E16&lt;2250,3,E16&lt;2625,3.5,E16&lt;3000,4,E16&lt;3375,4.5)</f>
      </c>
      <c r="E16" s="102">
        <v>100</v>
      </c>
      <c r="F16" s="103">
        <v>26000</v>
      </c>
      <c r="G16" s="103">
        <v>1800</v>
      </c>
      <c r="H16" s="103">
        <f>SUM(766+259)</f>
      </c>
      <c r="I16" s="103">
        <f>SUM(5700+3125+160)</f>
      </c>
      <c r="J16" s="103">
        <v>1</v>
      </c>
      <c r="K16" s="103">
        <v>0.06</v>
      </c>
      <c r="L16" s="103">
        <f>VLOOKUP($B$37,'FUEL TABLE'!B:M,7,FALSE)</f>
      </c>
      <c r="M16" s="103">
        <v>0.23</v>
      </c>
      <c r="N16" s="103">
        <v>8000</v>
      </c>
      <c r="O16" s="103">
        <v>600</v>
      </c>
      <c r="P16" s="103">
        <v>950</v>
      </c>
      <c r="Q16" s="103">
        <v>0</v>
      </c>
      <c r="R16" s="103">
        <v>15954</v>
      </c>
      <c r="S16" s="103">
        <f>SUM(14253+2256)*1.04*1.3</f>
      </c>
      <c r="T16" s="103">
        <v>2.21</v>
      </c>
      <c r="U16" s="104">
        <f>SUM(AA16/AB16)</f>
      </c>
      <c r="V16" s="103">
        <f>SUM(Z16/E16)</f>
      </c>
      <c r="W16" s="103">
        <f>AB16/E16</f>
      </c>
      <c r="X16" s="103">
        <f>SUM(F16+G16+H16+I16+N16+O16+P16+R16+S16)/30*D16</f>
      </c>
      <c r="Y16" s="103">
        <f>SUM(J16+L16+M16+Q16+T16+K16)</f>
      </c>
      <c r="Z16" s="103">
        <f>SUM(X16+SUM(Y16*E16))</f>
      </c>
      <c r="AA16" s="103">
        <f>SUM(AC16*E16)</f>
      </c>
      <c r="AB16" s="103">
        <f>SUM(Z16:AA16)</f>
      </c>
      <c r="AC16" s="105">
        <v>5</v>
      </c>
      <c r="AD16" s="103">
        <f>ROUNDUP(SUM(E16*L16),-1)</f>
      </c>
      <c r="AE16" s="103">
        <f>SUM(AF16-AD16)</f>
      </c>
      <c r="AF16" s="103">
        <f>ROUNDUP(AB16,-1)</f>
      </c>
      <c r="AG16" s="106"/>
      <c r="AH16" s="103">
        <f>+AF16+AG16</f>
      </c>
      <c r="AI16" s="106"/>
    </row>
    <row x14ac:dyDescent="0.25" r="17" customHeight="1" ht="18.75">
      <c r="A17" s="2"/>
      <c r="B17" s="108"/>
      <c r="C17" s="2"/>
      <c r="D17" s="118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121"/>
      <c r="S17" s="3"/>
      <c r="T17" s="3"/>
      <c r="U17" s="122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1"/>
      <c r="AH17" s="3"/>
      <c r="AI17" s="1"/>
    </row>
    <row x14ac:dyDescent="0.25" r="18" customHeight="1" ht="18.75">
      <c r="A18" s="123">
        <v>8</v>
      </c>
      <c r="B18" s="124" t="s">
        <v>90</v>
      </c>
      <c r="C18" s="125">
        <v>1</v>
      </c>
      <c r="D18" s="101">
        <f>_xlfn.IFS(E18&lt;200,0.5,E18&lt;750,1,E18&lt;1125,1.5,E18&lt;1500,2,E18&lt;1875,2.5,E18&lt;2250,3,E18&lt;2625,3.5,E18&lt;3000,4,E18&lt;3375,4.5)</f>
      </c>
      <c r="E18" s="102">
        <v>331</v>
      </c>
      <c r="F18" s="126">
        <v>22162</v>
      </c>
      <c r="G18" s="126">
        <v>1358</v>
      </c>
      <c r="H18" s="126">
        <f>SUM(782.61+9696)/12</f>
      </c>
      <c r="I18" s="126">
        <f>SUM(4913+3125+160)</f>
      </c>
      <c r="J18" s="126">
        <v>1</v>
      </c>
      <c r="K18" s="126">
        <v>0.06</v>
      </c>
      <c r="L18" s="126">
        <f>VLOOKUP($B$37,'FUEL TABLE'!B:M,9,FALSE)</f>
      </c>
      <c r="M18" s="126">
        <v>0.15</v>
      </c>
      <c r="N18" s="126">
        <v>0</v>
      </c>
      <c r="O18" s="126">
        <v>0</v>
      </c>
      <c r="P18" s="126">
        <v>0</v>
      </c>
      <c r="Q18" s="126">
        <v>0</v>
      </c>
      <c r="R18" s="126">
        <v>13620</v>
      </c>
      <c r="S18" s="103">
        <f>SUM(14253+2256)*1.04*1.3</f>
      </c>
      <c r="T18" s="126">
        <v>1.71</v>
      </c>
      <c r="U18" s="127">
        <f>SUM(AA18/AB18)</f>
      </c>
      <c r="V18" s="126">
        <f>SUM(Z18/E18)</f>
      </c>
      <c r="W18" s="126">
        <f>AB18/E18</f>
      </c>
      <c r="X18" s="126">
        <f>SUM(F18+G18+H18+I18+N18+O18+P18+R18+S18)/30*D18</f>
      </c>
      <c r="Y18" s="126">
        <f>SUM(J18+L18+M18+Q18+T18+K18)</f>
      </c>
      <c r="Z18" s="126">
        <f>SUM(X18+SUM(Y18*E18))</f>
      </c>
      <c r="AA18" s="126">
        <f>SUM(AC18*E18)</f>
      </c>
      <c r="AB18" s="126">
        <f>SUM(Z18:AA18)</f>
      </c>
      <c r="AC18" s="105">
        <v>3</v>
      </c>
      <c r="AD18" s="103">
        <f>ROUNDUP(SUM(E18*L18),-1)</f>
      </c>
      <c r="AE18" s="103">
        <f>SUM(AF18-AD18)</f>
      </c>
      <c r="AF18" s="103">
        <f>ROUNDUP(AB18,-1)</f>
      </c>
      <c r="AG18" s="106"/>
      <c r="AH18" s="103">
        <f>+AF18+AG18</f>
      </c>
      <c r="AI18" s="106"/>
    </row>
    <row x14ac:dyDescent="0.25" r="19" customHeight="1" ht="18.75">
      <c r="A19" s="2"/>
      <c r="B19" s="108"/>
      <c r="C19" s="2"/>
      <c r="D19" s="118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121"/>
      <c r="S19" s="3"/>
      <c r="T19" s="3"/>
      <c r="U19" s="122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1"/>
      <c r="AH19" s="3"/>
      <c r="AI19" s="1"/>
    </row>
    <row x14ac:dyDescent="0.25" r="20" customHeight="1" ht="18.75">
      <c r="A20" s="112">
        <v>9</v>
      </c>
      <c r="B20" s="128" t="s">
        <v>91</v>
      </c>
      <c r="C20" s="114">
        <v>1</v>
      </c>
      <c r="D20" s="101">
        <f>_xlfn.IFS(E20&lt;200,0.5,E20&lt;750,1,E20&lt;1125,1.5,E20&lt;1500,2,E20&lt;1875,2.5,E20&lt;2250,3,E20&lt;2625,3.5,E20&lt;3000,4,E20&lt;3375,4.5)+1</f>
      </c>
      <c r="E20" s="102">
        <f>SUM(545*2)</f>
      </c>
      <c r="F20" s="116">
        <v>22162</v>
      </c>
      <c r="G20" s="116">
        <v>1358</v>
      </c>
      <c r="H20" s="116">
        <f>SUM(782.61+9696)/12</f>
      </c>
      <c r="I20" s="116">
        <f>SUM(4913+3125+160)</f>
      </c>
      <c r="J20" s="116">
        <v>1</v>
      </c>
      <c r="K20" s="116">
        <v>0.06</v>
      </c>
      <c r="L20" s="116">
        <f>VLOOKUP($B$37,'FUEL TABLE'!B:M,9,FALSE)</f>
      </c>
      <c r="M20" s="116">
        <f>SUM(1498/1090)</f>
      </c>
      <c r="N20" s="116">
        <v>0</v>
      </c>
      <c r="O20" s="116">
        <v>0</v>
      </c>
      <c r="P20" s="116">
        <v>0</v>
      </c>
      <c r="Q20" s="116">
        <v>1500</v>
      </c>
      <c r="R20" s="116">
        <v>13620</v>
      </c>
      <c r="S20" s="116">
        <f>SUM(14253+2256)*1.04*1.3</f>
      </c>
      <c r="T20" s="116">
        <v>1.71</v>
      </c>
      <c r="U20" s="117">
        <f>SUM(AA20/AB20)</f>
      </c>
      <c r="V20" s="116">
        <f>SUM(Z20/E20)</f>
      </c>
      <c r="W20" s="116">
        <f>AB20/E20</f>
      </c>
      <c r="X20" s="116">
        <f>SUM(F20+G20+H20+I20+N20+O20+P20+R20+S20)/30*D20</f>
      </c>
      <c r="Y20" s="116">
        <f>SUM(J20+L20+M20+T20+K20)</f>
      </c>
      <c r="Z20" s="116">
        <f>SUM(X20+SUM(Y20*E20))+Q20</f>
      </c>
      <c r="AA20" s="116">
        <f>SUM(AC20*E20)</f>
      </c>
      <c r="AB20" s="116">
        <f>SUM(Z20:AA20)</f>
      </c>
      <c r="AC20" s="105">
        <v>5.294927536231883</v>
      </c>
      <c r="AD20" s="103">
        <f>ROUNDUP(SUM(E20*L20),-1)</f>
      </c>
      <c r="AE20" s="103">
        <f>SUM(AF20-AD20)</f>
      </c>
      <c r="AF20" s="103">
        <f>ROUNDUP(AB20,-1)</f>
      </c>
      <c r="AG20" s="106"/>
      <c r="AH20" s="103">
        <f>+AF20+AG20</f>
      </c>
      <c r="AI20" s="106"/>
    </row>
    <row x14ac:dyDescent="0.25" r="21" customHeight="1" ht="18.75">
      <c r="A21" s="2"/>
      <c r="B21" s="108"/>
      <c r="C21" s="2"/>
      <c r="D21" s="118"/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121"/>
      <c r="S21" s="3"/>
      <c r="T21" s="3"/>
      <c r="U21" s="122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1"/>
      <c r="AH21" s="3"/>
      <c r="AI21" s="1"/>
    </row>
    <row x14ac:dyDescent="0.25" r="22" customHeight="1" ht="18.75">
      <c r="A22" s="123">
        <v>10</v>
      </c>
      <c r="B22" s="124" t="s">
        <v>92</v>
      </c>
      <c r="C22" s="125">
        <v>1</v>
      </c>
      <c r="D22" s="101">
        <f>_xlfn.IFS(E22&lt;200,0.5,E22&lt;750,1,E22&lt;1125,1.5,E22&lt;1500,2,E22&lt;1875,2.5,E22&lt;2250,3,E22&lt;2625,3.5,E22&lt;3000,4,E22&lt;3375,4.5)</f>
      </c>
      <c r="E22" s="102">
        <v>250</v>
      </c>
      <c r="F22" s="126">
        <v>10000</v>
      </c>
      <c r="G22" s="126">
        <v>1358</v>
      </c>
      <c r="H22" s="126">
        <f>SUM(782.61+9696)/12</f>
      </c>
      <c r="I22" s="126">
        <v>3686</v>
      </c>
      <c r="J22" s="126">
        <v>1</v>
      </c>
      <c r="K22" s="126">
        <v>0.06</v>
      </c>
      <c r="L22" s="126">
        <f>VLOOKUP($B$37,'FUEL TABLE'!B:M,9,FALSE)</f>
      </c>
      <c r="M22" s="126">
        <v>0.15</v>
      </c>
      <c r="N22" s="126">
        <v>0</v>
      </c>
      <c r="O22" s="126">
        <v>0</v>
      </c>
      <c r="P22" s="126">
        <v>0</v>
      </c>
      <c r="Q22" s="126">
        <v>0</v>
      </c>
      <c r="R22" s="126">
        <v>13620</v>
      </c>
      <c r="S22" s="103">
        <f>SUM(14253+2256)*1.04*1.3</f>
      </c>
      <c r="T22" s="126">
        <v>1.71</v>
      </c>
      <c r="U22" s="127">
        <f>SUM(AA22/AB22)</f>
      </c>
      <c r="V22" s="126">
        <f>SUM(Z22/E22)</f>
      </c>
      <c r="W22" s="126">
        <f>AB22/E22</f>
      </c>
      <c r="X22" s="126">
        <f>SUM(F22+G22+H22+I22+N22+O22+P22+R22+S22)/30*D22</f>
      </c>
      <c r="Y22" s="126">
        <f>SUM(J22+L22+M22+Q22+T22+K22)</f>
      </c>
      <c r="Z22" s="126">
        <f>SUM(X22+SUM(Y22*E22))</f>
      </c>
      <c r="AA22" s="126">
        <f>SUM(AC22*E22)</f>
      </c>
      <c r="AB22" s="126">
        <f>SUM(Z22:AA22)</f>
      </c>
      <c r="AC22" s="105">
        <v>4</v>
      </c>
      <c r="AD22" s="103">
        <f>ROUNDUP(SUM(E22*L22),-1)</f>
      </c>
      <c r="AE22" s="103">
        <f>SUM(AF22-AD22)</f>
      </c>
      <c r="AF22" s="103">
        <f>ROUNDUP(AB22,-1)</f>
      </c>
      <c r="AG22" s="106"/>
      <c r="AH22" s="103">
        <f>+AF22+AG22</f>
      </c>
      <c r="AI22" s="106"/>
    </row>
    <row x14ac:dyDescent="0.25" r="23" customHeight="1" ht="18.75">
      <c r="A23" s="2"/>
      <c r="B23" s="108"/>
      <c r="C23" s="2"/>
      <c r="D23" s="118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121"/>
      <c r="S23" s="3"/>
      <c r="T23" s="3"/>
      <c r="U23" s="122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1"/>
      <c r="AH23" s="3"/>
      <c r="AI23" s="1"/>
    </row>
    <row x14ac:dyDescent="0.25" r="24" customHeight="1" ht="18.75">
      <c r="A24" s="129">
        <v>11</v>
      </c>
      <c r="B24" s="130" t="s">
        <v>93</v>
      </c>
      <c r="C24" s="131">
        <v>1</v>
      </c>
      <c r="D24" s="101">
        <f>_xlfn.IFS(E24&lt;200,0.5,E24&lt;750,1,E24&lt;1125,1.5,E24&lt;1500,2,E24&lt;1875,2.5,E24&lt;2250,3,E24&lt;2625,3.5,E24&lt;3000,4,E24&lt;3375,4.5)</f>
      </c>
      <c r="E24" s="102">
        <v>100</v>
      </c>
      <c r="F24" s="132">
        <v>36500</v>
      </c>
      <c r="G24" s="132">
        <v>1150</v>
      </c>
      <c r="H24" s="132">
        <v>1234.16</v>
      </c>
      <c r="I24" s="132">
        <f>SUM(7350+3431+160)</f>
      </c>
      <c r="J24" s="132">
        <v>0.7</v>
      </c>
      <c r="K24" s="132">
        <v>0.06</v>
      </c>
      <c r="L24" s="132">
        <f>VLOOKUP($B$37,'FUEL TABLE'!B:M,7,FALSE)</f>
      </c>
      <c r="M24" s="132">
        <v>0.6</v>
      </c>
      <c r="N24" s="132">
        <v>0</v>
      </c>
      <c r="O24" s="132">
        <v>0</v>
      </c>
      <c r="P24" s="132">
        <v>0</v>
      </c>
      <c r="Q24" s="132">
        <v>0</v>
      </c>
      <c r="R24" s="132">
        <v>18288</v>
      </c>
      <c r="S24" s="103">
        <f>SUM(14253+2256)*1.04*1.3</f>
      </c>
      <c r="T24" s="132">
        <v>1.5</v>
      </c>
      <c r="U24" s="133">
        <f>SUM(AA24/AB24)</f>
      </c>
      <c r="V24" s="132">
        <f>SUM(Z24/E24)</f>
      </c>
      <c r="W24" s="132">
        <f>SUM(AB24/E24)</f>
      </c>
      <c r="X24" s="132">
        <f>SUM(F24+G24+H24+I24+N24+O24+P24+R24+S24)/30*D24</f>
      </c>
      <c r="Y24" s="132">
        <f>SUM(J24+L24+M24+Q24+T24+K24)</f>
      </c>
      <c r="Z24" s="132">
        <f>SUM(X24+SUM(Y24*E24))</f>
      </c>
      <c r="AA24" s="132">
        <f>SUM(AC24*E24)</f>
      </c>
      <c r="AB24" s="132">
        <f>SUM(Z24:AA24)</f>
      </c>
      <c r="AC24" s="105">
        <v>5</v>
      </c>
      <c r="AD24" s="103">
        <f>ROUNDUP(SUM(E24*L24),-1)</f>
      </c>
      <c r="AE24" s="103">
        <f>SUM(AF24-AD24)</f>
      </c>
      <c r="AF24" s="103">
        <f>ROUNDUP(AB24,-1)</f>
      </c>
      <c r="AG24" s="106"/>
      <c r="AH24" s="103">
        <f>+AF24+AG24</f>
      </c>
      <c r="AI24" s="106"/>
    </row>
    <row x14ac:dyDescent="0.25" r="25" customHeight="1" ht="18.75">
      <c r="A25" s="107"/>
      <c r="B25" s="108"/>
      <c r="C25" s="2"/>
      <c r="D25" s="118"/>
      <c r="E25" s="134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1"/>
      <c r="V25" s="110"/>
      <c r="W25" s="110"/>
      <c r="X25" s="110"/>
      <c r="Y25" s="110"/>
      <c r="Z25" s="110"/>
      <c r="AA25" s="110"/>
      <c r="AB25" s="110"/>
      <c r="AC25" s="110"/>
      <c r="AD25" s="3"/>
      <c r="AE25" s="3"/>
      <c r="AF25" s="3"/>
      <c r="AG25" s="1"/>
      <c r="AH25" s="3"/>
      <c r="AI25" s="1"/>
    </row>
    <row x14ac:dyDescent="0.25" r="26" customHeight="1" ht="18.75">
      <c r="A26" s="123">
        <v>12</v>
      </c>
      <c r="B26" s="124" t="s">
        <v>94</v>
      </c>
      <c r="C26" s="125">
        <v>1</v>
      </c>
      <c r="D26" s="101">
        <f>_xlfn.IFS(E26&lt;200,0.5,E26&lt;750,1,E26&lt;1125,1.5,E26&lt;1500,2,E26&lt;1875,2.5,E26&lt;2250,3,E26&lt;2625,3.5,E26&lt;3000,4,E26&lt;3375,4.5)</f>
      </c>
      <c r="E26" s="102">
        <f>SUM(405*2)</f>
      </c>
      <c r="F26" s="126">
        <v>2500</v>
      </c>
      <c r="G26" s="126">
        <v>1358</v>
      </c>
      <c r="H26" s="126">
        <f>SUM(782.61+9696)/12</f>
      </c>
      <c r="I26" s="126">
        <v>3686</v>
      </c>
      <c r="J26" s="126">
        <v>1</v>
      </c>
      <c r="K26" s="126">
        <v>0.06</v>
      </c>
      <c r="L26" s="126">
        <f>VLOOKUP($B$37,'FUEL TABLE'!B:M,11,FALSE)</f>
      </c>
      <c r="M26" s="126">
        <v>0.15</v>
      </c>
      <c r="N26" s="126">
        <v>0</v>
      </c>
      <c r="O26" s="126">
        <v>0</v>
      </c>
      <c r="P26" s="126">
        <v>0</v>
      </c>
      <c r="Q26" s="126">
        <v>0</v>
      </c>
      <c r="R26" s="126">
        <v>10000</v>
      </c>
      <c r="S26" s="103">
        <f>SUM(14253+2256)*1.04*1.3</f>
      </c>
      <c r="T26" s="126">
        <v>1.71</v>
      </c>
      <c r="U26" s="127">
        <f>SUM(AA26/AB26)</f>
      </c>
      <c r="V26" s="126">
        <f>SUM(Z26/E26)</f>
      </c>
      <c r="W26" s="126">
        <f>AB26/E26</f>
      </c>
      <c r="X26" s="126">
        <f>SUM(F26+G26+H26+I26+N26+O26+P26+R26+S26)/30*D26</f>
      </c>
      <c r="Y26" s="126">
        <f>SUM(J26+L26+M26+Q26+T26+K26)</f>
      </c>
      <c r="Z26" s="126">
        <f>SUM(X26+SUM(Y26*E26))</f>
      </c>
      <c r="AA26" s="126">
        <f>SUM(AC26*E26)</f>
      </c>
      <c r="AB26" s="126">
        <f>SUM(Z26:AA26)</f>
      </c>
      <c r="AC26" s="105">
        <v>1.5</v>
      </c>
      <c r="AD26" s="103">
        <f>ROUNDUP(SUM(E26*L26),-1)</f>
      </c>
      <c r="AE26" s="103">
        <f>SUM(AF26-AD26)</f>
      </c>
      <c r="AF26" s="103">
        <f>ROUNDUP(AB26,-1)</f>
      </c>
      <c r="AG26" s="106"/>
      <c r="AH26" s="103">
        <f>+AF26+AG26</f>
      </c>
      <c r="AI26" s="106"/>
    </row>
    <row x14ac:dyDescent="0.25" r="27" customHeight="1" ht="18.75">
      <c r="A27" s="2"/>
      <c r="B27" s="108"/>
      <c r="C27" s="2"/>
      <c r="D27" s="135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121"/>
      <c r="S27" s="3"/>
      <c r="T27" s="3"/>
      <c r="U27" s="122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1"/>
      <c r="AH27" s="3"/>
      <c r="AI27" s="1"/>
    </row>
    <row x14ac:dyDescent="0.25" r="28" customHeight="1" ht="18.75">
      <c r="A28" s="2"/>
      <c r="B28" s="136" t="s">
        <v>95</v>
      </c>
      <c r="C28" s="2"/>
      <c r="D28" s="135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137"/>
      <c r="S28" s="3"/>
      <c r="T28" s="3"/>
      <c r="U28" s="122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1"/>
      <c r="AH28" s="3"/>
      <c r="AI28" s="1"/>
    </row>
    <row x14ac:dyDescent="0.25" r="29" customHeight="1" ht="18.75">
      <c r="A29" s="2"/>
      <c r="B29" s="108"/>
      <c r="C29" s="2"/>
      <c r="D29" s="135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137"/>
      <c r="S29" s="3"/>
      <c r="T29" s="110"/>
      <c r="U29" s="122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1"/>
      <c r="AH29" s="3"/>
      <c r="AI29" s="1"/>
    </row>
    <row x14ac:dyDescent="0.25" r="30" customHeight="1" ht="18.75">
      <c r="A30" s="134">
        <v>1</v>
      </c>
      <c r="B30" s="138" t="s">
        <v>96</v>
      </c>
      <c r="C30" s="2"/>
      <c r="D30" s="135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137"/>
      <c r="S30" s="3"/>
      <c r="T30" s="3"/>
      <c r="U30" s="122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1"/>
      <c r="AH30" s="3"/>
      <c r="AI30" s="1"/>
    </row>
    <row x14ac:dyDescent="0.25" r="31" customHeight="1" ht="18.75">
      <c r="A31" s="134">
        <v>2</v>
      </c>
      <c r="B31" s="139" t="s">
        <v>97</v>
      </c>
      <c r="C31" s="2"/>
      <c r="D31" s="135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137"/>
      <c r="S31" s="3"/>
      <c r="T31" s="110"/>
      <c r="U31" s="122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1"/>
      <c r="AH31" s="3"/>
      <c r="AI31" s="1"/>
    </row>
    <row x14ac:dyDescent="0.25" r="32" customHeight="1" ht="18.75">
      <c r="A32" s="134">
        <v>3</v>
      </c>
      <c r="B32" s="139" t="s">
        <v>98</v>
      </c>
      <c r="C32" s="2"/>
      <c r="D32" s="135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137"/>
      <c r="S32" s="3"/>
      <c r="T32" s="3"/>
      <c r="U32" s="122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1"/>
      <c r="AH32" s="3"/>
      <c r="AI32" s="1"/>
    </row>
    <row x14ac:dyDescent="0.25" r="33" customHeight="1" ht="18.75">
      <c r="A33" s="134">
        <v>4</v>
      </c>
      <c r="B33" s="139" t="s">
        <v>99</v>
      </c>
      <c r="C33" s="2"/>
      <c r="D33" s="135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137"/>
      <c r="S33" s="3"/>
      <c r="T33" s="3"/>
      <c r="U33" s="122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1"/>
      <c r="AH33" s="3"/>
      <c r="AI33" s="1"/>
    </row>
    <row x14ac:dyDescent="0.25" r="34" customHeight="1" ht="18.75">
      <c r="A34" s="2"/>
      <c r="B34" s="108"/>
      <c r="C34" s="2"/>
      <c r="D34" s="135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137"/>
      <c r="S34" s="3"/>
      <c r="T34" s="3"/>
      <c r="U34" s="122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1"/>
      <c r="AH34" s="3"/>
      <c r="AI34" s="1"/>
    </row>
    <row x14ac:dyDescent="0.25" r="35" customHeight="1" ht="18.75">
      <c r="A35" s="2"/>
      <c r="B35" s="108"/>
      <c r="C35" s="2"/>
      <c r="D35" s="135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137"/>
      <c r="S35" s="3"/>
      <c r="T35" s="3"/>
      <c r="U35" s="122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1"/>
      <c r="AH35" s="3"/>
      <c r="AI35" s="1"/>
    </row>
    <row x14ac:dyDescent="0.25" r="36" customHeight="1" ht="18.75">
      <c r="A36" s="2"/>
      <c r="B36" s="136" t="s">
        <v>25</v>
      </c>
      <c r="C36" s="2"/>
      <c r="D36" s="135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137"/>
      <c r="S36" s="3"/>
      <c r="T36" s="3"/>
      <c r="U36" s="122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1"/>
      <c r="AH36" s="3"/>
      <c r="AI36" s="1"/>
    </row>
    <row x14ac:dyDescent="0.25" r="37" customHeight="1" ht="18.75">
      <c r="A37" s="2"/>
      <c r="B37" s="138">
        <v>45931</v>
      </c>
      <c r="C37" s="2"/>
      <c r="D37" s="135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137"/>
      <c r="S37" s="3"/>
      <c r="T37" s="3"/>
      <c r="U37" s="122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1"/>
      <c r="AH37" s="3"/>
      <c r="AI37" s="1"/>
    </row>
    <row x14ac:dyDescent="0.25" r="38" customHeight="1" ht="18.75">
      <c r="A38" s="2"/>
      <c r="B38" s="108"/>
      <c r="C38" s="2"/>
      <c r="D38" s="135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137"/>
      <c r="S38" s="3"/>
      <c r="T38" s="3"/>
      <c r="U38" s="122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1"/>
      <c r="AH38" s="3"/>
      <c r="AI38" s="1"/>
    </row>
    <row x14ac:dyDescent="0.25" r="39" customHeight="1" ht="18.75" hidden="1">
      <c r="A39" s="2"/>
      <c r="B39" s="136" t="s">
        <v>100</v>
      </c>
      <c r="C39" s="2"/>
      <c r="D39" s="135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137"/>
      <c r="S39" s="3"/>
      <c r="T39" s="3"/>
      <c r="U39" s="122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1"/>
      <c r="AH39" s="3"/>
      <c r="AI39" s="1"/>
    </row>
    <row x14ac:dyDescent="0.25" r="40" customHeight="1" ht="18.75" hidden="1">
      <c r="A40" s="2"/>
      <c r="B40" s="139" t="s">
        <v>101</v>
      </c>
      <c r="C40" s="2"/>
      <c r="D40" s="135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137"/>
      <c r="S40" s="3"/>
      <c r="T40" s="3"/>
      <c r="U40" s="122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1"/>
      <c r="AH40" s="3"/>
      <c r="AI40" s="1"/>
    </row>
    <row x14ac:dyDescent="0.25" r="41" customHeight="1" ht="18.75" hidden="1">
      <c r="A41" s="2"/>
      <c r="B41" s="139" t="s">
        <v>102</v>
      </c>
      <c r="C41" s="2"/>
      <c r="D41" s="135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137"/>
      <c r="S41" s="3"/>
      <c r="T41" s="3"/>
      <c r="U41" s="122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1"/>
      <c r="AH41" s="3"/>
      <c r="AI41" s="1"/>
    </row>
    <row x14ac:dyDescent="0.25" r="42" customHeight="1" ht="18.75">
      <c r="A42" s="2"/>
      <c r="B42" s="108"/>
      <c r="C42" s="2"/>
      <c r="D42" s="135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137"/>
      <c r="S42" s="3"/>
      <c r="T42" s="3"/>
      <c r="U42" s="122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1"/>
      <c r="AH42" s="3"/>
      <c r="AI42" s="1"/>
    </row>
    <row x14ac:dyDescent="0.25" r="43" customHeight="1" ht="18.75">
      <c r="A43" s="2"/>
      <c r="B43" s="108"/>
      <c r="C43" s="2"/>
      <c r="D43" s="135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137"/>
      <c r="S43" s="3"/>
      <c r="T43" s="3"/>
      <c r="U43" s="122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1"/>
      <c r="AH43" s="3"/>
      <c r="AI43" s="1"/>
    </row>
  </sheetData>
  <mergeCells count="19">
    <mergeCell ref="C1:C3"/>
    <mergeCell ref="D1:D3"/>
    <mergeCell ref="E1:E3"/>
    <mergeCell ref="F1:M1"/>
    <mergeCell ref="N1:Q1"/>
    <mergeCell ref="R1:T1"/>
    <mergeCell ref="Z1:Z3"/>
    <mergeCell ref="AA1:AA3"/>
    <mergeCell ref="AB1:AB3"/>
    <mergeCell ref="F2:I2"/>
    <mergeCell ref="J2:M2"/>
    <mergeCell ref="N2:P2"/>
    <mergeCell ref="R2:S2"/>
    <mergeCell ref="U2:U3"/>
    <mergeCell ref="V2:V3"/>
    <mergeCell ref="W2:W3"/>
    <mergeCell ref="X2:X3"/>
    <mergeCell ref="Y2:Y3"/>
    <mergeCell ref="AD2:A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87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19" width="13.576428571428572" customWidth="1" bestFit="1"/>
    <col min="2" max="2" style="72" width="13.576428571428572" customWidth="1" bestFit="1"/>
    <col min="3" max="3" style="21" width="10.147857142857141" customWidth="1" bestFit="1"/>
    <col min="4" max="4" style="73" width="13.576428571428572" customWidth="1" bestFit="1"/>
    <col min="5" max="5" style="22" width="13.576428571428572" customWidth="1" bestFit="1"/>
    <col min="6" max="6" style="22" width="13.576428571428572" customWidth="1" bestFit="1"/>
    <col min="7" max="7" style="22" width="13.576428571428572" customWidth="1" bestFit="1"/>
    <col min="8" max="8" style="22" width="13.576428571428572" customWidth="1" bestFit="1"/>
    <col min="9" max="9" style="22" width="13.576428571428572" customWidth="1" bestFit="1"/>
    <col min="10" max="10" style="22" width="13.576428571428572" customWidth="1" bestFit="1"/>
    <col min="11" max="11" style="22" width="13.576428571428572" customWidth="1" bestFit="1"/>
    <col min="12" max="12" style="22" width="13.576428571428572" customWidth="1" bestFit="1"/>
    <col min="13" max="13" style="22" width="13.576428571428572" customWidth="1" bestFit="1"/>
    <col min="14" max="14" style="22" width="13.576428571428572" customWidth="1" bestFit="1"/>
    <col min="15" max="15" style="19" width="13.576428571428572" customWidth="1" bestFit="1"/>
    <col min="16" max="16" style="19" width="7.147857142857143" customWidth="1" bestFit="1"/>
    <col min="17" max="17" style="20" width="3.7192857142857143" customWidth="1" bestFit="1"/>
    <col min="18" max="18" style="20" width="8.147857142857141" customWidth="1" bestFit="1"/>
    <col min="19" max="19" style="20" width="11.290714285714287" customWidth="1" bestFit="1"/>
    <col min="20" max="20" style="74" width="7.005" customWidth="1" bestFit="1"/>
    <col min="21" max="21" style="20" width="10.290714285714287" customWidth="1" bestFit="1"/>
    <col min="22" max="22" style="19" width="3.7192857142857143" customWidth="1" bestFit="1"/>
    <col min="23" max="23" style="19" width="7.862142857142857" customWidth="1" bestFit="1"/>
    <col min="24" max="24" style="19" width="6.005" customWidth="1" bestFit="1"/>
    <col min="25" max="25" style="19" width="10.290714285714287" customWidth="1" bestFit="1"/>
    <col min="26" max="26" style="19" width="3.7192857142857143" customWidth="1" bestFit="1"/>
    <col min="27" max="27" style="19" width="7.862142857142857" customWidth="1" bestFit="1"/>
    <col min="28" max="28" style="19" width="6.005" customWidth="1" bestFit="1"/>
    <col min="29" max="29" style="19" width="10.290714285714287" customWidth="1" bestFit="1"/>
  </cols>
  <sheetData>
    <row x14ac:dyDescent="0.25" r="1" customHeight="1" ht="18.75">
      <c r="A1" s="1"/>
      <c r="B1" s="23"/>
      <c r="C1" s="3"/>
      <c r="D1" s="24"/>
      <c r="E1" s="4"/>
      <c r="F1" s="4"/>
      <c r="G1" s="4"/>
      <c r="H1" s="4"/>
      <c r="I1" s="4"/>
      <c r="J1" s="4"/>
      <c r="K1" s="4"/>
      <c r="L1" s="4"/>
      <c r="M1" s="4"/>
      <c r="N1" s="4"/>
      <c r="O1" s="1"/>
      <c r="P1" s="1"/>
      <c r="Q1" s="2"/>
      <c r="R1" s="2"/>
      <c r="S1" s="2"/>
      <c r="T1" s="25"/>
      <c r="U1" s="2"/>
      <c r="V1" s="1"/>
      <c r="W1" s="1"/>
      <c r="X1" s="1"/>
      <c r="Y1" s="1"/>
      <c r="Z1" s="1"/>
      <c r="AA1" s="1"/>
      <c r="AB1" s="1"/>
      <c r="AC1" s="1"/>
    </row>
    <row x14ac:dyDescent="0.25" r="2" customHeight="1" ht="18.75">
      <c r="A2" s="1"/>
      <c r="B2" s="26" t="s">
        <v>14</v>
      </c>
      <c r="C2" s="27"/>
      <c r="D2" s="28"/>
      <c r="E2" s="4"/>
      <c r="F2" s="4"/>
      <c r="G2" s="4"/>
      <c r="H2" s="4"/>
      <c r="I2" s="4"/>
      <c r="J2" s="4"/>
      <c r="K2" s="4"/>
      <c r="L2" s="4"/>
      <c r="M2" s="4"/>
      <c r="N2" s="4"/>
      <c r="O2" s="1"/>
      <c r="P2" s="1"/>
      <c r="Q2" s="2"/>
      <c r="R2" s="2"/>
      <c r="S2" s="2"/>
      <c r="T2" s="25"/>
      <c r="U2" s="2"/>
      <c r="V2" s="1"/>
      <c r="W2" s="1"/>
      <c r="X2" s="1"/>
      <c r="Y2" s="1"/>
      <c r="Z2" s="1"/>
      <c r="AA2" s="1"/>
      <c r="AB2" s="1"/>
      <c r="AC2" s="1"/>
    </row>
    <row x14ac:dyDescent="0.25" r="3" customHeight="1" ht="18.75">
      <c r="A3" s="1"/>
      <c r="B3" s="29"/>
      <c r="C3" s="30"/>
      <c r="D3" s="31"/>
      <c r="E3" s="4"/>
      <c r="F3" s="4"/>
      <c r="G3" s="4"/>
      <c r="H3" s="4"/>
      <c r="I3" s="4"/>
      <c r="J3" s="4"/>
      <c r="K3" s="4"/>
      <c r="L3" s="4"/>
      <c r="M3" s="4"/>
      <c r="N3" s="4"/>
      <c r="O3" s="1"/>
      <c r="P3" s="1"/>
      <c r="Q3" s="2"/>
      <c r="R3" s="2"/>
      <c r="S3" s="2"/>
      <c r="T3" s="25"/>
      <c r="U3" s="2"/>
      <c r="V3" s="1"/>
      <c r="W3" s="1"/>
      <c r="X3" s="1"/>
      <c r="Y3" s="1"/>
      <c r="Z3" s="1"/>
      <c r="AA3" s="1"/>
      <c r="AB3" s="1"/>
      <c r="AC3" s="1"/>
    </row>
    <row x14ac:dyDescent="0.25" r="4" customHeight="1" ht="18.75">
      <c r="A4" s="1"/>
      <c r="B4" s="32" t="s">
        <v>15</v>
      </c>
      <c r="C4" s="33"/>
      <c r="D4" s="34"/>
      <c r="E4" s="35">
        <v>2</v>
      </c>
      <c r="F4" s="35">
        <v>2.3</v>
      </c>
      <c r="G4" s="35">
        <v>2.3</v>
      </c>
      <c r="H4" s="35">
        <v>3.5</v>
      </c>
      <c r="I4" s="35">
        <v>3.5</v>
      </c>
      <c r="J4" s="35">
        <v>4</v>
      </c>
      <c r="K4" s="35">
        <v>4</v>
      </c>
      <c r="L4" s="35">
        <v>10</v>
      </c>
      <c r="M4" s="35">
        <v>8</v>
      </c>
      <c r="N4" s="35">
        <v>4.5</v>
      </c>
      <c r="O4" s="1"/>
      <c r="P4" s="36"/>
      <c r="Q4" s="37"/>
      <c r="R4" s="38" t="s">
        <v>16</v>
      </c>
      <c r="S4" s="39"/>
      <c r="T4" s="40"/>
      <c r="U4" s="41"/>
      <c r="V4" s="42" t="s">
        <v>17</v>
      </c>
      <c r="W4" s="42"/>
      <c r="X4" s="42"/>
      <c r="Y4" s="42"/>
      <c r="Z4" s="43" t="s">
        <v>18</v>
      </c>
      <c r="AA4" s="43"/>
      <c r="AB4" s="43"/>
      <c r="AC4" s="43"/>
    </row>
    <row x14ac:dyDescent="0.25" r="5" customHeight="1" ht="18.75">
      <c r="A5" s="1"/>
      <c r="B5" s="29"/>
      <c r="C5" s="30"/>
      <c r="D5" s="31"/>
      <c r="E5" s="4"/>
      <c r="F5" s="4"/>
      <c r="G5" s="4"/>
      <c r="H5" s="4"/>
      <c r="I5" s="4"/>
      <c r="J5" s="4"/>
      <c r="K5" s="4"/>
      <c r="L5" s="4"/>
      <c r="M5" s="4"/>
      <c r="N5" s="4"/>
      <c r="O5" s="1"/>
      <c r="P5" s="44" t="s">
        <v>19</v>
      </c>
      <c r="Q5" s="45" t="s">
        <v>20</v>
      </c>
      <c r="R5" s="46" t="s">
        <v>20</v>
      </c>
      <c r="S5" s="46" t="s">
        <v>21</v>
      </c>
      <c r="T5" s="47" t="s">
        <v>22</v>
      </c>
      <c r="U5" s="46" t="s">
        <v>23</v>
      </c>
      <c r="V5" s="48" t="s">
        <v>20</v>
      </c>
      <c r="W5" s="48" t="s">
        <v>21</v>
      </c>
      <c r="X5" s="48" t="s">
        <v>24</v>
      </c>
      <c r="Y5" s="48" t="s">
        <v>23</v>
      </c>
      <c r="Z5" s="49" t="s">
        <v>20</v>
      </c>
      <c r="AA5" s="49" t="s">
        <v>21</v>
      </c>
      <c r="AB5" s="49" t="s">
        <v>24</v>
      </c>
      <c r="AC5" s="49" t="s">
        <v>23</v>
      </c>
    </row>
    <row x14ac:dyDescent="0.25" r="6" customHeight="1" ht="18.75">
      <c r="A6" s="1"/>
      <c r="B6" s="50" t="s">
        <v>25</v>
      </c>
      <c r="C6" s="51" t="s">
        <v>26</v>
      </c>
      <c r="D6" s="52" t="s">
        <v>27</v>
      </c>
      <c r="E6" s="53" t="s">
        <v>28</v>
      </c>
      <c r="F6" s="53" t="s">
        <v>29</v>
      </c>
      <c r="G6" s="53" t="s">
        <v>30</v>
      </c>
      <c r="H6" s="53" t="s">
        <v>8</v>
      </c>
      <c r="I6" s="53" t="s">
        <v>31</v>
      </c>
      <c r="J6" s="53" t="s">
        <v>10</v>
      </c>
      <c r="K6" s="53" t="s">
        <v>32</v>
      </c>
      <c r="L6" s="53" t="s">
        <v>33</v>
      </c>
      <c r="M6" s="53" t="s">
        <v>34</v>
      </c>
      <c r="N6" s="53" t="s">
        <v>35</v>
      </c>
      <c r="O6" s="1"/>
      <c r="P6" s="54" t="s">
        <v>36</v>
      </c>
      <c r="Q6" s="37"/>
      <c r="R6" s="55">
        <v>4</v>
      </c>
      <c r="S6" s="55">
        <v>4000</v>
      </c>
      <c r="T6" s="56">
        <f>SUM(S6/$S$14)</f>
      </c>
      <c r="U6" s="55">
        <f>IFERROR(SUM(T6*$U$14)/R6,0)</f>
      </c>
      <c r="V6" s="57"/>
      <c r="W6" s="57"/>
      <c r="X6" s="57"/>
      <c r="Y6" s="57"/>
      <c r="Z6" s="58"/>
      <c r="AA6" s="58"/>
      <c r="AB6" s="58"/>
      <c r="AC6" s="58"/>
    </row>
    <row x14ac:dyDescent="0.25" r="7" customHeight="1" ht="18.75">
      <c r="A7" s="1"/>
      <c r="B7" s="59">
        <v>43678</v>
      </c>
      <c r="C7" s="60">
        <v>14.37</v>
      </c>
      <c r="D7" s="61"/>
      <c r="E7" s="35">
        <f>SUM($C7/$E$4)</f>
      </c>
      <c r="F7" s="35">
        <f>SUM($C7/$F$4)</f>
      </c>
      <c r="G7" s="35"/>
      <c r="H7" s="35">
        <f>SUM($C7/$H$4)</f>
      </c>
      <c r="I7" s="35">
        <f>SUM($C7/$I$4)</f>
      </c>
      <c r="J7" s="35">
        <f>SUM($C7/$J$4)</f>
      </c>
      <c r="K7" s="35">
        <f>SUM($C7/$K$4)</f>
      </c>
      <c r="L7" s="35">
        <f>SUM($C7/$L$4)</f>
      </c>
      <c r="M7" s="35">
        <f>SUM($C7/$M$4)</f>
      </c>
      <c r="N7" s="35"/>
      <c r="O7" s="1"/>
      <c r="P7" s="54" t="s">
        <v>37</v>
      </c>
      <c r="Q7" s="37"/>
      <c r="R7" s="55">
        <v>7</v>
      </c>
      <c r="S7" s="55">
        <v>675944</v>
      </c>
      <c r="T7" s="56">
        <f>SUM(S7/$S$14)</f>
      </c>
      <c r="U7" s="55">
        <f>IFERROR(SUM(T7*$U$14)/R7,0)</f>
      </c>
      <c r="V7" s="57"/>
      <c r="W7" s="57"/>
      <c r="X7" s="57"/>
      <c r="Y7" s="57"/>
      <c r="Z7" s="58"/>
      <c r="AA7" s="58"/>
      <c r="AB7" s="58"/>
      <c r="AC7" s="58"/>
    </row>
    <row x14ac:dyDescent="0.25" r="8" customHeight="1" ht="18.75">
      <c r="A8" s="1"/>
      <c r="B8" s="59">
        <v>43709</v>
      </c>
      <c r="C8" s="60">
        <f>SUM(C7+0.33)</f>
      </c>
      <c r="D8" s="61">
        <f>SUM(C8-C7)/C7</f>
      </c>
      <c r="E8" s="35">
        <f>SUM($C8/$E$4)</f>
      </c>
      <c r="F8" s="35">
        <f>SUM($C8/$F$4)</f>
      </c>
      <c r="G8" s="35"/>
      <c r="H8" s="35">
        <f>SUM($C8/$H$4)</f>
      </c>
      <c r="I8" s="35">
        <f>SUM($C8/$I$4)</f>
      </c>
      <c r="J8" s="35">
        <f>SUM($C8/$J$4)</f>
      </c>
      <c r="K8" s="35">
        <f>SUM($C8/$K$4)</f>
      </c>
      <c r="L8" s="35">
        <f>SUM($C8/$L$4)</f>
      </c>
      <c r="M8" s="35">
        <f>SUM($C8/$M$4)</f>
      </c>
      <c r="N8" s="35"/>
      <c r="O8" s="1"/>
      <c r="P8" s="54" t="s">
        <v>38</v>
      </c>
      <c r="Q8" s="37"/>
      <c r="R8" s="55"/>
      <c r="S8" s="55">
        <v>0</v>
      </c>
      <c r="T8" s="56">
        <f>SUM(S8/$S$14)</f>
      </c>
      <c r="U8" s="55">
        <f>IFERROR(SUM(T8*$U$14)/R8,0)</f>
      </c>
      <c r="V8" s="57"/>
      <c r="W8" s="57"/>
      <c r="X8" s="57"/>
      <c r="Y8" s="57"/>
      <c r="Z8" s="58"/>
      <c r="AA8" s="58"/>
      <c r="AB8" s="58"/>
      <c r="AC8" s="58"/>
    </row>
    <row x14ac:dyDescent="0.25" r="9" customHeight="1" ht="18.75">
      <c r="A9" s="1"/>
      <c r="B9" s="59">
        <v>43739</v>
      </c>
      <c r="C9" s="62">
        <f>SUM(C8+0.25)</f>
      </c>
      <c r="D9" s="61">
        <f>SUM(C9-C8)/C8</f>
      </c>
      <c r="E9" s="35">
        <f>SUM($C9/$E$4)</f>
      </c>
      <c r="F9" s="35">
        <f>SUM($C9/$F$4)</f>
      </c>
      <c r="G9" s="35"/>
      <c r="H9" s="35">
        <f>SUM($C9/$H$4)</f>
      </c>
      <c r="I9" s="35">
        <f>SUM($C9/$I$4)</f>
      </c>
      <c r="J9" s="35">
        <f>SUM($C9/$J$4)</f>
      </c>
      <c r="K9" s="35">
        <f>SUM($C9/$K$4)</f>
      </c>
      <c r="L9" s="35">
        <f>SUM($C9/$L$4)</f>
      </c>
      <c r="M9" s="35">
        <f>SUM($C9/$M$4)</f>
      </c>
      <c r="N9" s="35"/>
      <c r="O9" s="1"/>
      <c r="P9" s="54" t="s">
        <v>39</v>
      </c>
      <c r="Q9" s="37"/>
      <c r="R9" s="55">
        <f>2+2+10+5+6+1</f>
      </c>
      <c r="S9" s="55">
        <f>SUM(121711+118975+170969+289249+339603+36847)</f>
      </c>
      <c r="T9" s="56">
        <f>SUM(S9/$S$14)</f>
      </c>
      <c r="U9" s="55">
        <f>IFERROR(SUM(T9*$U$14)/R9,0)</f>
      </c>
      <c r="V9" s="57"/>
      <c r="W9" s="57"/>
      <c r="X9" s="57"/>
      <c r="Y9" s="57"/>
      <c r="Z9" s="58"/>
      <c r="AA9" s="58"/>
      <c r="AB9" s="58"/>
      <c r="AC9" s="58"/>
    </row>
    <row x14ac:dyDescent="0.25" r="10" customHeight="1" ht="18.75">
      <c r="A10" s="1"/>
      <c r="B10" s="59">
        <v>43770</v>
      </c>
      <c r="C10" s="62">
        <f>SUM(C9-0.14)</f>
      </c>
      <c r="D10" s="61">
        <f>SUM(C10-C9)/C9</f>
      </c>
      <c r="E10" s="35">
        <f>SUM($C10/$E$4)</f>
      </c>
      <c r="F10" s="35">
        <f>SUM($C10/$F$4)</f>
      </c>
      <c r="G10" s="35"/>
      <c r="H10" s="35">
        <f>SUM($C10/$H$4)</f>
      </c>
      <c r="I10" s="35">
        <f>SUM($C10/$I$4)</f>
      </c>
      <c r="J10" s="35">
        <f>SUM($C10/$J$4)</f>
      </c>
      <c r="K10" s="35">
        <f>SUM($C10/$K$4)</f>
      </c>
      <c r="L10" s="35">
        <f>SUM($C10/$L$4)</f>
      </c>
      <c r="M10" s="35">
        <f>SUM($C10/$M$4)</f>
      </c>
      <c r="N10" s="35"/>
      <c r="O10" s="1"/>
      <c r="P10" s="54" t="s">
        <v>40</v>
      </c>
      <c r="Q10" s="37"/>
      <c r="R10" s="55">
        <f>3+7</f>
      </c>
      <c r="S10" s="55">
        <f>SUM(110534+440590)</f>
      </c>
      <c r="T10" s="56">
        <f>SUM(S10/$S$14)</f>
      </c>
      <c r="U10" s="55">
        <f>IFERROR(SUM(T10*$U$14)/R10,0)</f>
      </c>
      <c r="V10" s="57"/>
      <c r="W10" s="57"/>
      <c r="X10" s="57"/>
      <c r="Y10" s="57"/>
      <c r="Z10" s="58"/>
      <c r="AA10" s="58"/>
      <c r="AB10" s="58"/>
      <c r="AC10" s="58"/>
    </row>
    <row x14ac:dyDescent="0.25" r="11" customHeight="1" ht="18.75">
      <c r="A11" s="1"/>
      <c r="B11" s="59">
        <v>43800</v>
      </c>
      <c r="C11" s="62">
        <f>SUM(C10-0.22)</f>
      </c>
      <c r="D11" s="61">
        <f>SUM(C11-C10)/C10</f>
      </c>
      <c r="E11" s="35">
        <f>SUM($C11/$E$4)</f>
      </c>
      <c r="F11" s="35">
        <f>SUM($C11/$F$4)</f>
      </c>
      <c r="G11" s="35"/>
      <c r="H11" s="35">
        <f>SUM($C11/$H$4)</f>
      </c>
      <c r="I11" s="35">
        <f>SUM($C11/$I$4)</f>
      </c>
      <c r="J11" s="35">
        <f>SUM($C11/$J$4)</f>
      </c>
      <c r="K11" s="35">
        <f>SUM($C11/$K$4)</f>
      </c>
      <c r="L11" s="35">
        <f>SUM($C11/$L$4)</f>
      </c>
      <c r="M11" s="35">
        <f>SUM($C11/$M$4)</f>
      </c>
      <c r="N11" s="35"/>
      <c r="O11" s="1"/>
      <c r="P11" s="54" t="s">
        <v>41</v>
      </c>
      <c r="Q11" s="37"/>
      <c r="R11" s="55">
        <v>4</v>
      </c>
      <c r="S11" s="55">
        <f>SUM(396280)</f>
      </c>
      <c r="T11" s="56">
        <f>SUM(S11/$S$14)</f>
      </c>
      <c r="U11" s="55">
        <f>IFERROR(SUM(T11*$U$14)/R11,0)</f>
      </c>
      <c r="V11" s="57"/>
      <c r="W11" s="57"/>
      <c r="X11" s="57"/>
      <c r="Y11" s="57"/>
      <c r="Z11" s="58"/>
      <c r="AA11" s="58"/>
      <c r="AB11" s="58"/>
      <c r="AC11" s="58"/>
    </row>
    <row x14ac:dyDescent="0.25" r="12" customHeight="1" ht="18.75">
      <c r="A12" s="1"/>
      <c r="B12" s="59">
        <v>43831</v>
      </c>
      <c r="C12" s="62">
        <v>14.68</v>
      </c>
      <c r="D12" s="61">
        <f>SUM(C12-C11)/C11</f>
      </c>
      <c r="E12" s="35">
        <f>SUM($C12/$E$4)</f>
      </c>
      <c r="F12" s="35">
        <f>SUM($C12/$F$4)</f>
      </c>
      <c r="G12" s="35"/>
      <c r="H12" s="35">
        <f>SUM($C12/$H$4)</f>
      </c>
      <c r="I12" s="35">
        <f>SUM($C12/$I$4)</f>
      </c>
      <c r="J12" s="35">
        <f>SUM($C12/$J$4)</f>
      </c>
      <c r="K12" s="35">
        <f>SUM($C12/$K$4)</f>
      </c>
      <c r="L12" s="35">
        <f>SUM($C12/$L$4)</f>
      </c>
      <c r="M12" s="35">
        <f>SUM($C12/$M$4)</f>
      </c>
      <c r="N12" s="35"/>
      <c r="O12" s="1"/>
      <c r="P12" s="54" t="s">
        <v>42</v>
      </c>
      <c r="Q12" s="37"/>
      <c r="R12" s="55">
        <f>1+3+12+1+19</f>
      </c>
      <c r="S12" s="55">
        <f>SUM(134770+392618+2131973+194005+3081993)</f>
      </c>
      <c r="T12" s="56">
        <f>SUM(S12/$S$14)</f>
      </c>
      <c r="U12" s="55">
        <f>IFERROR(SUM(T12*$U$14)/R12,0)</f>
      </c>
      <c r="V12" s="57"/>
      <c r="W12" s="57"/>
      <c r="X12" s="57"/>
      <c r="Y12" s="57"/>
      <c r="Z12" s="58"/>
      <c r="AA12" s="58"/>
      <c r="AB12" s="58"/>
      <c r="AC12" s="58"/>
    </row>
    <row x14ac:dyDescent="0.25" r="13" customHeight="1" ht="18.75">
      <c r="A13" s="1"/>
      <c r="B13" s="59">
        <v>43862</v>
      </c>
      <c r="C13" s="62">
        <v>14.63</v>
      </c>
      <c r="D13" s="61">
        <f>SUM(C13-C12)/C12</f>
      </c>
      <c r="E13" s="35">
        <f>SUM($C13/$E$4)</f>
      </c>
      <c r="F13" s="35">
        <f>SUM($C13/$F$4)</f>
      </c>
      <c r="G13" s="35"/>
      <c r="H13" s="35">
        <f>SUM($C13/$H$4)</f>
      </c>
      <c r="I13" s="35">
        <f>SUM($C13/$I$4)</f>
      </c>
      <c r="J13" s="35">
        <f>SUM($C13/$J$4)</f>
      </c>
      <c r="K13" s="35">
        <f>SUM($C13/$K$4)</f>
      </c>
      <c r="L13" s="35">
        <f>SUM($C13/$L$4)</f>
      </c>
      <c r="M13" s="35">
        <f>SUM($C13/$M$4)</f>
      </c>
      <c r="N13" s="35"/>
      <c r="O13" s="1"/>
      <c r="P13" s="54" t="s">
        <v>43</v>
      </c>
      <c r="Q13" s="37"/>
      <c r="R13" s="55">
        <f>3+48+3+4</f>
      </c>
      <c r="S13" s="55">
        <f>SUM(464703+7672063+451646+745332)</f>
      </c>
      <c r="T13" s="56">
        <f>SUM(S13/$S$14)</f>
      </c>
      <c r="U13" s="55">
        <f>IFERROR(SUM(T13*$U$14)/R13,0)</f>
      </c>
      <c r="V13" s="57"/>
      <c r="W13" s="57"/>
      <c r="X13" s="57"/>
      <c r="Y13" s="57"/>
      <c r="Z13" s="58"/>
      <c r="AA13" s="58"/>
      <c r="AB13" s="58"/>
      <c r="AC13" s="58"/>
    </row>
    <row x14ac:dyDescent="0.25" r="14" customHeight="1" ht="18.75">
      <c r="A14" s="1"/>
      <c r="B14" s="59">
        <v>43891</v>
      </c>
      <c r="C14" s="62">
        <f>SUM(C13-0.54)</f>
      </c>
      <c r="D14" s="61">
        <f>SUM(C14-C13)/C13</f>
      </c>
      <c r="E14" s="35">
        <f>SUM($C14/$E$4)</f>
      </c>
      <c r="F14" s="35">
        <f>SUM($C14/$F$4)</f>
      </c>
      <c r="G14" s="35"/>
      <c r="H14" s="35">
        <f>SUM($C14/$H$4)</f>
      </c>
      <c r="I14" s="35">
        <f>SUM($C14/$I$4)</f>
      </c>
      <c r="J14" s="35">
        <f>SUM($C14/$J$4)</f>
      </c>
      <c r="K14" s="35">
        <f>SUM($C14/$K$4)</f>
      </c>
      <c r="L14" s="35">
        <f>SUM($C14/$L$4)</f>
      </c>
      <c r="M14" s="35">
        <f>SUM($C14/$M$4)</f>
      </c>
      <c r="N14" s="35"/>
      <c r="O14" s="1"/>
      <c r="P14" s="63"/>
      <c r="Q14" s="64">
        <f>SUM(Q6:Q13)</f>
      </c>
      <c r="R14" s="65">
        <f>SUM(R6:R13)</f>
      </c>
      <c r="S14" s="65">
        <f>SUM(S6:S13)</f>
      </c>
      <c r="T14" s="66">
        <f>SUM(T6:T13)</f>
      </c>
      <c r="U14" s="65">
        <v>2536440</v>
      </c>
      <c r="V14" s="67"/>
      <c r="W14" s="67"/>
      <c r="X14" s="67"/>
      <c r="Y14" s="67"/>
      <c r="Z14" s="68"/>
      <c r="AA14" s="68"/>
      <c r="AB14" s="68"/>
      <c r="AC14" s="68"/>
    </row>
    <row x14ac:dyDescent="0.25" r="15" customHeight="1" ht="18.75">
      <c r="A15" s="1"/>
      <c r="B15" s="59">
        <v>43922</v>
      </c>
      <c r="C15" s="62">
        <f>SUM(C14-1.34)</f>
      </c>
      <c r="D15" s="61">
        <f>SUM(C15-C14)/C14</f>
      </c>
      <c r="E15" s="35">
        <f>SUM($C15/$E$4)</f>
      </c>
      <c r="F15" s="35">
        <f>SUM($C15/$F$4)</f>
      </c>
      <c r="G15" s="35"/>
      <c r="H15" s="35">
        <f>SUM($C15/$H$4)</f>
      </c>
      <c r="I15" s="35">
        <f>SUM($C15/$I$4)</f>
      </c>
      <c r="J15" s="35">
        <f>SUM($C15/$J$4)</f>
      </c>
      <c r="K15" s="35">
        <f>SUM($C15/$K$4)</f>
      </c>
      <c r="L15" s="35">
        <f>SUM($C15/$L$4)</f>
      </c>
      <c r="M15" s="35">
        <f>SUM($C15/$M$4)</f>
      </c>
      <c r="N15" s="35"/>
      <c r="O15" s="1"/>
      <c r="P15" s="1"/>
      <c r="Q15" s="2"/>
      <c r="R15" s="2"/>
      <c r="S15" s="2"/>
      <c r="T15" s="25"/>
      <c r="U15" s="69"/>
      <c r="V15" s="1"/>
      <c r="W15" s="1"/>
      <c r="X15" s="1"/>
      <c r="Y15" s="1"/>
      <c r="Z15" s="1"/>
      <c r="AA15" s="1"/>
      <c r="AB15" s="1"/>
      <c r="AC15" s="1"/>
    </row>
    <row x14ac:dyDescent="0.25" r="16" customHeight="1" ht="18.75">
      <c r="A16" s="1"/>
      <c r="B16" s="59">
        <v>43952</v>
      </c>
      <c r="C16" s="62">
        <v>11.19</v>
      </c>
      <c r="D16" s="61">
        <f>SUM(C16-C15)/C15</f>
      </c>
      <c r="E16" s="35">
        <f>SUM($C16/$E$4)</f>
      </c>
      <c r="F16" s="35">
        <f>SUM($C16/$F$4)</f>
      </c>
      <c r="G16" s="35"/>
      <c r="H16" s="35">
        <f>SUM($C16/$H$4)</f>
      </c>
      <c r="I16" s="35">
        <f>SUM($C16/$I$4)</f>
      </c>
      <c r="J16" s="35">
        <f>SUM($C16/$J$4)</f>
      </c>
      <c r="K16" s="35">
        <f>SUM($C16/$K$4)</f>
      </c>
      <c r="L16" s="35">
        <f>SUM($C16/$L$4)</f>
      </c>
      <c r="M16" s="35">
        <f>SUM($C16/$M$4)</f>
      </c>
      <c r="N16" s="35"/>
      <c r="O16" s="1"/>
      <c r="P16" s="1"/>
      <c r="Q16" s="2"/>
      <c r="R16" s="2"/>
      <c r="S16" s="2"/>
      <c r="T16" s="25"/>
      <c r="U16" s="2"/>
      <c r="V16" s="1"/>
      <c r="W16" s="1"/>
      <c r="X16" s="1"/>
      <c r="Y16" s="1"/>
      <c r="Z16" s="1"/>
      <c r="AA16" s="1"/>
      <c r="AB16" s="1"/>
      <c r="AC16" s="1"/>
    </row>
    <row x14ac:dyDescent="0.25" r="17" customHeight="1" ht="18.75">
      <c r="A17" s="1"/>
      <c r="B17" s="59">
        <v>43983</v>
      </c>
      <c r="C17" s="62">
        <v>11.4</v>
      </c>
      <c r="D17" s="61">
        <f>SUM(C17-C16)/C16</f>
      </c>
      <c r="E17" s="35">
        <f>SUM($C17/$E$4)</f>
      </c>
      <c r="F17" s="35">
        <f>SUM($C17/$F$4)</f>
      </c>
      <c r="G17" s="35"/>
      <c r="H17" s="35">
        <f>SUM($C17/$H$4)</f>
      </c>
      <c r="I17" s="35">
        <f>SUM($C17/$I$4)</f>
      </c>
      <c r="J17" s="35">
        <f>SUM($C17/$J$4)</f>
      </c>
      <c r="K17" s="35">
        <f>SUM($C17/$K$4)</f>
      </c>
      <c r="L17" s="35">
        <f>SUM($C17/$L$4)</f>
      </c>
      <c r="M17" s="35">
        <f>SUM($C17/$M$4)</f>
      </c>
      <c r="N17" s="35"/>
      <c r="O17" s="1"/>
      <c r="P17" s="1"/>
      <c r="Q17" s="2"/>
      <c r="R17" s="2"/>
      <c r="S17" s="2"/>
      <c r="T17" s="25"/>
      <c r="U17" s="2"/>
      <c r="V17" s="1"/>
      <c r="W17" s="1"/>
      <c r="X17" s="1"/>
      <c r="Y17" s="1"/>
      <c r="Z17" s="1"/>
      <c r="AA17" s="1"/>
      <c r="AB17" s="1"/>
      <c r="AC17" s="1"/>
    </row>
    <row x14ac:dyDescent="0.25" r="18" customHeight="1" ht="18.75">
      <c r="A18" s="1"/>
      <c r="B18" s="59">
        <v>44013</v>
      </c>
      <c r="C18" s="62">
        <v>13.0356</v>
      </c>
      <c r="D18" s="61">
        <f>SUM(C18-C17)/C17</f>
      </c>
      <c r="E18" s="35">
        <f>SUM($C18/$E$4)</f>
      </c>
      <c r="F18" s="35">
        <f>SUM($C18/$F$4)</f>
      </c>
      <c r="G18" s="35"/>
      <c r="H18" s="35">
        <f>SUM($C18/$H$4)</f>
      </c>
      <c r="I18" s="35">
        <f>SUM($C18/$I$4)</f>
      </c>
      <c r="J18" s="35">
        <f>SUM($C18/$J$4)</f>
      </c>
      <c r="K18" s="35">
        <f>SUM($C18/$K$4)</f>
      </c>
      <c r="L18" s="35">
        <f>SUM($C18/$L$4)</f>
      </c>
      <c r="M18" s="35">
        <f>SUM($C18/$M$4)</f>
      </c>
      <c r="N18" s="35"/>
      <c r="O18" s="1"/>
      <c r="P18" s="1"/>
      <c r="Q18" s="2"/>
      <c r="R18" s="2"/>
      <c r="S18" s="2"/>
      <c r="T18" s="25"/>
      <c r="U18" s="2"/>
      <c r="V18" s="1"/>
      <c r="W18" s="1"/>
      <c r="X18" s="1"/>
      <c r="Y18" s="1"/>
      <c r="Z18" s="1"/>
      <c r="AA18" s="1"/>
      <c r="AB18" s="1"/>
      <c r="AC18" s="1"/>
    </row>
    <row x14ac:dyDescent="0.25" r="19" customHeight="1" ht="18.75">
      <c r="A19" s="1"/>
      <c r="B19" s="59">
        <v>44044</v>
      </c>
      <c r="C19" s="62">
        <v>13.4856</v>
      </c>
      <c r="D19" s="61">
        <f>SUM(C19-C18)/C18</f>
      </c>
      <c r="E19" s="35">
        <f>SUM($C19/$E$4)</f>
      </c>
      <c r="F19" s="35">
        <f>SUM($C19/$F$4)</f>
      </c>
      <c r="G19" s="35"/>
      <c r="H19" s="35">
        <f>SUM($C19/$H$4)</f>
      </c>
      <c r="I19" s="35">
        <f>SUM($C19/$I$4)</f>
      </c>
      <c r="J19" s="35">
        <f>SUM($C19/$J$4)</f>
      </c>
      <c r="K19" s="35">
        <f>SUM($C19/$K$4)</f>
      </c>
      <c r="L19" s="35">
        <f>SUM($C19/$L$4)</f>
      </c>
      <c r="M19" s="35">
        <f>SUM($C19/$M$4)</f>
      </c>
      <c r="N19" s="35"/>
      <c r="O19" s="1"/>
      <c r="P19" s="1"/>
      <c r="Q19" s="2"/>
      <c r="R19" s="2"/>
      <c r="S19" s="2"/>
      <c r="T19" s="25"/>
      <c r="U19" s="2"/>
      <c r="V19" s="1"/>
      <c r="W19" s="1"/>
      <c r="X19" s="1"/>
      <c r="Y19" s="1"/>
      <c r="Z19" s="1"/>
      <c r="AA19" s="1"/>
      <c r="AB19" s="1"/>
      <c r="AC19" s="1"/>
    </row>
    <row x14ac:dyDescent="0.25" r="20" customHeight="1" ht="18.75">
      <c r="A20" s="1"/>
      <c r="B20" s="59">
        <v>44075</v>
      </c>
      <c r="C20" s="62">
        <v>13.2756</v>
      </c>
      <c r="D20" s="61">
        <f>SUM(C20-C19)/C19</f>
      </c>
      <c r="E20" s="35">
        <f>SUM($C20/$E$4)</f>
      </c>
      <c r="F20" s="35">
        <f>SUM($C20/$F$4)</f>
      </c>
      <c r="G20" s="35"/>
      <c r="H20" s="35">
        <f>SUM($C20/$H$4)</f>
      </c>
      <c r="I20" s="35">
        <f>SUM($C20/$I$4)</f>
      </c>
      <c r="J20" s="35">
        <f>SUM($C20/$J$4)</f>
      </c>
      <c r="K20" s="35">
        <f>SUM($C20/$K$4)</f>
      </c>
      <c r="L20" s="35">
        <f>SUM($C20/$L$4)</f>
      </c>
      <c r="M20" s="35">
        <f>SUM($C20/$M$4)</f>
      </c>
      <c r="N20" s="35"/>
      <c r="O20" s="1"/>
      <c r="P20" s="1"/>
      <c r="Q20" s="2"/>
      <c r="R20" s="2"/>
      <c r="S20" s="2"/>
      <c r="T20" s="25"/>
      <c r="U20" s="2"/>
      <c r="V20" s="1"/>
      <c r="W20" s="1"/>
      <c r="X20" s="1"/>
      <c r="Y20" s="1"/>
      <c r="Z20" s="1"/>
      <c r="AA20" s="1"/>
      <c r="AB20" s="1"/>
      <c r="AC20" s="1"/>
    </row>
    <row x14ac:dyDescent="0.25" r="21" customHeight="1" ht="18.75">
      <c r="A21" s="1"/>
      <c r="B21" s="59">
        <v>44105</v>
      </c>
      <c r="C21" s="62">
        <v>12.35</v>
      </c>
      <c r="D21" s="61">
        <f>SUM(C21-C20)/C20</f>
      </c>
      <c r="E21" s="35">
        <f>SUM($C21/$E$4)</f>
      </c>
      <c r="F21" s="35">
        <f>SUM($C21/$F$4)</f>
      </c>
      <c r="G21" s="35"/>
      <c r="H21" s="35">
        <f>SUM($C21/$H$4)</f>
      </c>
      <c r="I21" s="35">
        <f>SUM($C21/$I$4)</f>
      </c>
      <c r="J21" s="35">
        <f>SUM($C21/$J$4)</f>
      </c>
      <c r="K21" s="35">
        <f>SUM($C21/$K$4)</f>
      </c>
      <c r="L21" s="35">
        <f>SUM($C21/$L$4)</f>
      </c>
      <c r="M21" s="35">
        <f>SUM($C21/$M$4)</f>
      </c>
      <c r="N21" s="35"/>
      <c r="O21" s="1"/>
      <c r="P21" s="1"/>
      <c r="Q21" s="2"/>
      <c r="R21" s="2"/>
      <c r="S21" s="2"/>
      <c r="T21" s="25"/>
      <c r="U21" s="2"/>
      <c r="V21" s="1"/>
      <c r="W21" s="1"/>
      <c r="X21" s="1"/>
      <c r="Y21" s="1"/>
      <c r="Z21" s="1"/>
      <c r="AA21" s="1"/>
      <c r="AB21" s="1"/>
      <c r="AC21" s="1"/>
    </row>
    <row x14ac:dyDescent="0.25" r="22" customHeight="1" ht="18.75">
      <c r="A22" s="1"/>
      <c r="B22" s="59">
        <v>44136</v>
      </c>
      <c r="C22" s="62">
        <v>12.2556</v>
      </c>
      <c r="D22" s="61">
        <f>SUM(C22-C21)/C21</f>
      </c>
      <c r="E22" s="35">
        <f>SUM($C22/$E$4)</f>
      </c>
      <c r="F22" s="35">
        <f>SUM($C22/$F$4)</f>
      </c>
      <c r="G22" s="35"/>
      <c r="H22" s="35">
        <f>SUM($C22/$H$4)</f>
      </c>
      <c r="I22" s="35">
        <f>SUM($C22/$I$4)</f>
      </c>
      <c r="J22" s="35">
        <f>SUM($C22/$J$4)</f>
      </c>
      <c r="K22" s="35">
        <f>SUM($C22/$K$4)</f>
      </c>
      <c r="L22" s="35">
        <f>SUM($C22/$L$4)</f>
      </c>
      <c r="M22" s="35">
        <f>SUM($C22/$M$4)</f>
      </c>
      <c r="N22" s="35"/>
      <c r="O22" s="1"/>
      <c r="P22" s="1"/>
      <c r="Q22" s="2"/>
      <c r="R22" s="2"/>
      <c r="S22" s="2"/>
      <c r="T22" s="25"/>
      <c r="U22" s="2"/>
      <c r="V22" s="1"/>
      <c r="W22" s="1"/>
      <c r="X22" s="1"/>
      <c r="Y22" s="1"/>
      <c r="Z22" s="1"/>
      <c r="AA22" s="1"/>
      <c r="AB22" s="1"/>
      <c r="AC22" s="1"/>
    </row>
    <row x14ac:dyDescent="0.25" r="23" customHeight="1" ht="18.75">
      <c r="A23" s="1"/>
      <c r="B23" s="59">
        <v>44166</v>
      </c>
      <c r="C23" s="62">
        <v>12.4542</v>
      </c>
      <c r="D23" s="61">
        <f>SUM(C23-C22)/C22</f>
      </c>
      <c r="E23" s="35">
        <f>SUM($C23/$E$4)</f>
      </c>
      <c r="F23" s="35">
        <f>SUM($C23/$F$4)</f>
      </c>
      <c r="G23" s="35"/>
      <c r="H23" s="35">
        <f>SUM($C23/$H$4)</f>
      </c>
      <c r="I23" s="35">
        <f>SUM($C23/$I$4)</f>
      </c>
      <c r="J23" s="35">
        <f>SUM($C23/$J$4)</f>
      </c>
      <c r="K23" s="35">
        <f>SUM($C23/$K$4)</f>
      </c>
      <c r="L23" s="35">
        <f>SUM($C23/$L$4)</f>
      </c>
      <c r="M23" s="35">
        <f>SUM($C23/$M$4)</f>
      </c>
      <c r="N23" s="35"/>
      <c r="O23" s="1"/>
      <c r="P23" s="1"/>
      <c r="Q23" s="2"/>
      <c r="R23" s="2"/>
      <c r="S23" s="2"/>
      <c r="T23" s="25"/>
      <c r="U23" s="2"/>
      <c r="V23" s="1"/>
      <c r="W23" s="1"/>
      <c r="X23" s="1"/>
      <c r="Y23" s="1"/>
      <c r="Z23" s="1"/>
      <c r="AA23" s="1"/>
      <c r="AB23" s="1"/>
      <c r="AC23" s="1"/>
    </row>
    <row x14ac:dyDescent="0.25" r="24" customHeight="1" ht="18.75">
      <c r="A24" s="1"/>
      <c r="B24" s="59">
        <v>44202</v>
      </c>
      <c r="C24" s="62">
        <v>13.0042</v>
      </c>
      <c r="D24" s="61">
        <f>SUM(C24-C23)/C23</f>
      </c>
      <c r="E24" s="35">
        <f>SUM($C24/$E$4)</f>
      </c>
      <c r="F24" s="35">
        <f>SUM($C24/$F$4)</f>
      </c>
      <c r="G24" s="35"/>
      <c r="H24" s="35">
        <f>SUM($C24/$H$4)</f>
      </c>
      <c r="I24" s="35">
        <f>SUM($C24/$I$4)</f>
      </c>
      <c r="J24" s="35">
        <f>SUM($C24/$J$4)</f>
      </c>
      <c r="K24" s="35">
        <f>SUM($C24/$K$4)</f>
      </c>
      <c r="L24" s="35">
        <f>SUM($C24/$L$4)</f>
      </c>
      <c r="M24" s="35">
        <f>SUM($C24/$M$4)</f>
      </c>
      <c r="N24" s="35"/>
      <c r="O24" s="1"/>
      <c r="P24" s="1"/>
      <c r="Q24" s="2"/>
      <c r="R24" s="2"/>
      <c r="S24" s="2"/>
      <c r="T24" s="25"/>
      <c r="U24" s="2"/>
      <c r="V24" s="1"/>
      <c r="W24" s="1"/>
      <c r="X24" s="1"/>
      <c r="Y24" s="1"/>
      <c r="Z24" s="1"/>
      <c r="AA24" s="1"/>
      <c r="AB24" s="1"/>
      <c r="AC24" s="1"/>
    </row>
    <row x14ac:dyDescent="0.25" r="25" customHeight="1" ht="18.75">
      <c r="A25" s="1"/>
      <c r="B25" s="59">
        <v>44233</v>
      </c>
      <c r="C25" s="62">
        <v>13.5842</v>
      </c>
      <c r="D25" s="61">
        <f>SUM(C25-C24)/C24</f>
      </c>
      <c r="E25" s="35">
        <f>SUM($C25/$E$4)</f>
      </c>
      <c r="F25" s="35">
        <f>SUM($C25/$F$4)</f>
      </c>
      <c r="G25" s="35"/>
      <c r="H25" s="35">
        <f>SUM($C25/$H$4)</f>
      </c>
      <c r="I25" s="35">
        <f>SUM($C25/$I$4)</f>
      </c>
      <c r="J25" s="35">
        <f>SUM($C25/$J$4)</f>
      </c>
      <c r="K25" s="35">
        <f>SUM($C25/$K$4)</f>
      </c>
      <c r="L25" s="35">
        <f>SUM($C25/$L$4)</f>
      </c>
      <c r="M25" s="35">
        <f>SUM($C25/$M$4)</f>
      </c>
      <c r="N25" s="35"/>
      <c r="O25" s="1"/>
      <c r="P25" s="1"/>
      <c r="Q25" s="2"/>
      <c r="R25" s="2"/>
      <c r="S25" s="2"/>
      <c r="T25" s="25"/>
      <c r="U25" s="2"/>
      <c r="V25" s="1"/>
      <c r="W25" s="1"/>
      <c r="X25" s="1"/>
      <c r="Y25" s="1"/>
      <c r="Z25" s="1"/>
      <c r="AA25" s="1"/>
      <c r="AB25" s="1"/>
      <c r="AC25" s="1"/>
    </row>
    <row x14ac:dyDescent="0.25" r="26" customHeight="1" ht="18.75">
      <c r="A26" s="1"/>
      <c r="B26" s="59">
        <v>44261</v>
      </c>
      <c r="C26" s="62">
        <v>14.1242</v>
      </c>
      <c r="D26" s="61">
        <f>SUM(C26-C25)/C25</f>
      </c>
      <c r="E26" s="35">
        <f>SUM($C26/$E$4)</f>
      </c>
      <c r="F26" s="35">
        <f>SUM($C26/$F$4)</f>
      </c>
      <c r="G26" s="35"/>
      <c r="H26" s="35">
        <f>SUM($C26/$H$4)</f>
      </c>
      <c r="I26" s="35">
        <f>SUM($C26/$I$4)</f>
      </c>
      <c r="J26" s="35">
        <f>SUM($C26/$J$4)</f>
      </c>
      <c r="K26" s="35">
        <f>SUM($C26/$K$4)</f>
      </c>
      <c r="L26" s="35">
        <f>SUM($C26/$L$4)</f>
      </c>
      <c r="M26" s="35">
        <f>SUM($C26/$M$4)</f>
      </c>
      <c r="N26" s="35"/>
      <c r="O26" s="1"/>
      <c r="P26" s="1"/>
      <c r="Q26" s="2"/>
      <c r="R26" s="2"/>
      <c r="S26" s="2"/>
      <c r="T26" s="25"/>
      <c r="U26" s="2"/>
      <c r="V26" s="1"/>
      <c r="W26" s="1"/>
      <c r="X26" s="1"/>
      <c r="Y26" s="1"/>
      <c r="Z26" s="1"/>
      <c r="AA26" s="1"/>
      <c r="AB26" s="1"/>
      <c r="AC26" s="1"/>
    </row>
    <row x14ac:dyDescent="0.25" r="27" customHeight="1" ht="18.75">
      <c r="A27" s="1"/>
      <c r="B27" s="59">
        <v>44292</v>
      </c>
      <c r="C27" s="62">
        <v>14.7762</v>
      </c>
      <c r="D27" s="61">
        <f>SUM(C27-C26)/C26</f>
      </c>
      <c r="E27" s="35">
        <f>SUM($C27/$E$4)</f>
      </c>
      <c r="F27" s="35">
        <f>SUM($C27/$F$4)</f>
      </c>
      <c r="G27" s="35"/>
      <c r="H27" s="35">
        <f>SUM($C27/$H$4)</f>
      </c>
      <c r="I27" s="35">
        <f>SUM($C27/$I$4)</f>
      </c>
      <c r="J27" s="35">
        <f>SUM($C27/$J$4)</f>
      </c>
      <c r="K27" s="35">
        <f>SUM($C27/$K$4)</f>
      </c>
      <c r="L27" s="35">
        <f>SUM($C27/$L$4)</f>
      </c>
      <c r="M27" s="35">
        <f>SUM($C27/$M$4)</f>
      </c>
      <c r="N27" s="35"/>
      <c r="O27" s="1"/>
      <c r="P27" s="1"/>
      <c r="Q27" s="2"/>
      <c r="R27" s="2"/>
      <c r="S27" s="2"/>
      <c r="T27" s="25"/>
      <c r="U27" s="2"/>
      <c r="V27" s="1"/>
      <c r="W27" s="1"/>
      <c r="X27" s="1"/>
      <c r="Y27" s="1"/>
      <c r="Z27" s="1"/>
      <c r="AA27" s="1"/>
      <c r="AB27" s="1"/>
      <c r="AC27" s="1"/>
    </row>
    <row x14ac:dyDescent="0.25" r="28" customHeight="1" ht="18.75">
      <c r="A28" s="1"/>
      <c r="B28" s="59">
        <v>44322</v>
      </c>
      <c r="C28" s="62">
        <v>14.4662</v>
      </c>
      <c r="D28" s="61">
        <f>SUM(C28-C27)/C27</f>
      </c>
      <c r="E28" s="35">
        <f>SUM($C28/$E$4)</f>
      </c>
      <c r="F28" s="35">
        <f>SUM($C28/$F$4)</f>
      </c>
      <c r="G28" s="35"/>
      <c r="H28" s="35">
        <f>SUM($C28/$H$4)</f>
      </c>
      <c r="I28" s="35">
        <f>SUM($C28/$I$4)</f>
      </c>
      <c r="J28" s="35">
        <f>SUM($C28/$J$4)</f>
      </c>
      <c r="K28" s="35">
        <f>SUM($C28/$K$4)</f>
      </c>
      <c r="L28" s="35">
        <f>SUM($C28/$L$4)</f>
      </c>
      <c r="M28" s="35">
        <f>SUM($C28/$M$4)</f>
      </c>
      <c r="N28" s="35"/>
      <c r="O28" s="1"/>
      <c r="P28" s="1"/>
      <c r="Q28" s="2"/>
      <c r="R28" s="2"/>
      <c r="S28" s="2"/>
      <c r="T28" s="25"/>
      <c r="U28" s="2"/>
      <c r="V28" s="1"/>
      <c r="W28" s="1"/>
      <c r="X28" s="1"/>
      <c r="Y28" s="1"/>
      <c r="Z28" s="1"/>
      <c r="AA28" s="1"/>
      <c r="AB28" s="1"/>
      <c r="AC28" s="1"/>
    </row>
    <row x14ac:dyDescent="0.25" r="29" customHeight="1" ht="18.75">
      <c r="A29" s="1"/>
      <c r="B29" s="59">
        <v>44353</v>
      </c>
      <c r="C29" s="62">
        <v>14.6662</v>
      </c>
      <c r="D29" s="61">
        <f>SUM(C29-C28)/C28</f>
      </c>
      <c r="E29" s="35">
        <f>SUM($C29/$E$4)</f>
      </c>
      <c r="F29" s="35">
        <f>SUM($C29/$F$4)</f>
      </c>
      <c r="G29" s="35"/>
      <c r="H29" s="35">
        <f>SUM($C29/$H$4)</f>
      </c>
      <c r="I29" s="35">
        <f>SUM($C29/$I$4)</f>
      </c>
      <c r="J29" s="35">
        <f>SUM($C29/$J$4)</f>
      </c>
      <c r="K29" s="35">
        <f>SUM($C29/$K$4)</f>
      </c>
      <c r="L29" s="35">
        <f>SUM($C29/$L$4)</f>
      </c>
      <c r="M29" s="35">
        <f>SUM($C29/$M$4)</f>
      </c>
      <c r="N29" s="35"/>
      <c r="O29" s="1"/>
      <c r="P29" s="1"/>
      <c r="Q29" s="2"/>
      <c r="R29" s="2"/>
      <c r="S29" s="2"/>
      <c r="T29" s="25"/>
      <c r="U29" s="2"/>
      <c r="V29" s="1"/>
      <c r="W29" s="1"/>
      <c r="X29" s="1"/>
      <c r="Y29" s="1"/>
      <c r="Z29" s="1"/>
      <c r="AA29" s="1"/>
      <c r="AB29" s="1"/>
      <c r="AC29" s="1"/>
    </row>
    <row x14ac:dyDescent="0.25" r="30" customHeight="1" ht="18.75">
      <c r="A30" s="1"/>
      <c r="B30" s="59">
        <v>44383</v>
      </c>
      <c r="C30" s="62">
        <v>15.0862</v>
      </c>
      <c r="D30" s="61">
        <f>SUM(C30-C29)/C29</f>
      </c>
      <c r="E30" s="35">
        <f>SUM($C30/$E$4)</f>
      </c>
      <c r="F30" s="35">
        <f>SUM($C30/$F$4)</f>
      </c>
      <c r="G30" s="35"/>
      <c r="H30" s="35">
        <f>SUM($C30/$H$4)</f>
      </c>
      <c r="I30" s="35">
        <f>SUM($C30/$I$4)</f>
      </c>
      <c r="J30" s="35">
        <f>SUM($C30/$J$4)</f>
      </c>
      <c r="K30" s="35">
        <f>SUM($C30/$K$4)</f>
      </c>
      <c r="L30" s="35">
        <f>SUM($C30/$L$4)</f>
      </c>
      <c r="M30" s="35">
        <f>SUM($C30/$M$4)</f>
      </c>
      <c r="N30" s="35"/>
      <c r="O30" s="1"/>
      <c r="P30" s="1"/>
      <c r="Q30" s="2"/>
      <c r="R30" s="2"/>
      <c r="S30" s="2"/>
      <c r="T30" s="25"/>
      <c r="U30" s="2"/>
      <c r="V30" s="1"/>
      <c r="W30" s="1"/>
      <c r="X30" s="1"/>
      <c r="Y30" s="1"/>
      <c r="Z30" s="1"/>
      <c r="AA30" s="1"/>
      <c r="AB30" s="1"/>
      <c r="AC30" s="1"/>
    </row>
    <row x14ac:dyDescent="0.25" r="31" customHeight="1" ht="18.75">
      <c r="A31" s="1"/>
      <c r="B31" s="59">
        <v>44414</v>
      </c>
      <c r="C31" s="62">
        <v>15.642</v>
      </c>
      <c r="D31" s="61">
        <f>SUM(C31-C30)/C30</f>
      </c>
      <c r="E31" s="35">
        <f>SUM($C31/$E$4)</f>
      </c>
      <c r="F31" s="35">
        <f>SUM($C31/$F$4)</f>
      </c>
      <c r="G31" s="35"/>
      <c r="H31" s="35">
        <f>SUM($C31/$H$4)</f>
      </c>
      <c r="I31" s="35">
        <f>SUM($C31/$I$4)</f>
      </c>
      <c r="J31" s="35">
        <f>SUM($C31/$J$4)</f>
      </c>
      <c r="K31" s="35">
        <f>SUM($C31/$K$4)</f>
      </c>
      <c r="L31" s="35">
        <f>SUM($C31/$L$4)</f>
      </c>
      <c r="M31" s="35">
        <f>SUM($C31/$M$4)</f>
      </c>
      <c r="N31" s="35"/>
      <c r="O31" s="1"/>
      <c r="P31" s="1"/>
      <c r="Q31" s="2"/>
      <c r="R31" s="2"/>
      <c r="S31" s="2"/>
      <c r="T31" s="25"/>
      <c r="U31" s="2"/>
      <c r="V31" s="1"/>
      <c r="W31" s="1"/>
      <c r="X31" s="1"/>
      <c r="Y31" s="1"/>
      <c r="Z31" s="1"/>
      <c r="AA31" s="1"/>
      <c r="AB31" s="1"/>
      <c r="AC31" s="1"/>
    </row>
    <row x14ac:dyDescent="0.25" r="32" customHeight="1" ht="18.75">
      <c r="A32" s="1"/>
      <c r="B32" s="59">
        <v>44445</v>
      </c>
      <c r="C32" s="62">
        <v>15.4898</v>
      </c>
      <c r="D32" s="61">
        <f>SUM(C32-C31)/C31</f>
      </c>
      <c r="E32" s="35">
        <f>SUM($C32/$E$4)</f>
      </c>
      <c r="F32" s="35">
        <f>SUM($C32/$F$4)</f>
      </c>
      <c r="G32" s="35"/>
      <c r="H32" s="35">
        <f>SUM($C32/$H$4)</f>
      </c>
      <c r="I32" s="35">
        <f>SUM($C32/$I$4)</f>
      </c>
      <c r="J32" s="35">
        <f>SUM($C32/$J$4)</f>
      </c>
      <c r="K32" s="35">
        <f>SUM($C32/$K$4)</f>
      </c>
      <c r="L32" s="35">
        <f>SUM($C32/$L$4)</f>
      </c>
      <c r="M32" s="35">
        <f>SUM($C32/$M$4)</f>
      </c>
      <c r="N32" s="35"/>
      <c r="O32" s="1"/>
      <c r="P32" s="1"/>
      <c r="Q32" s="2"/>
      <c r="R32" s="2"/>
      <c r="S32" s="2"/>
      <c r="T32" s="25"/>
      <c r="U32" s="2"/>
      <c r="V32" s="1"/>
      <c r="W32" s="1"/>
      <c r="X32" s="1"/>
      <c r="Y32" s="1"/>
      <c r="Z32" s="1"/>
      <c r="AA32" s="1"/>
      <c r="AB32" s="1"/>
      <c r="AC32" s="1"/>
    </row>
    <row x14ac:dyDescent="0.25" r="33" customHeight="1" ht="18.75">
      <c r="A33" s="1"/>
      <c r="B33" s="59">
        <v>44475</v>
      </c>
      <c r="C33" s="62">
        <v>15.7178</v>
      </c>
      <c r="D33" s="61">
        <f>SUM(C33-C32)/C32</f>
      </c>
      <c r="E33" s="35">
        <f>SUM($C33/$E$4)</f>
      </c>
      <c r="F33" s="35">
        <f>SUM($C33/$F$4)</f>
      </c>
      <c r="G33" s="35"/>
      <c r="H33" s="35">
        <f>SUM($C33/$H$4)</f>
      </c>
      <c r="I33" s="35">
        <f>SUM($C33/$I$4)</f>
      </c>
      <c r="J33" s="35">
        <f>SUM($C33/$J$4)</f>
      </c>
      <c r="K33" s="35">
        <f>SUM($C33/$K$4)</f>
      </c>
      <c r="L33" s="35">
        <f>SUM($C33/$L$4)</f>
      </c>
      <c r="M33" s="35">
        <f>SUM($C33/$M$4)</f>
      </c>
      <c r="N33" s="35">
        <f>SUM($C33/$N$4)</f>
      </c>
      <c r="O33" s="1"/>
      <c r="P33" s="1"/>
      <c r="Q33" s="2"/>
      <c r="R33" s="2"/>
      <c r="S33" s="2"/>
      <c r="T33" s="25"/>
      <c r="U33" s="2"/>
      <c r="V33" s="1"/>
      <c r="W33" s="1"/>
      <c r="X33" s="1"/>
      <c r="Y33" s="1"/>
      <c r="Z33" s="1"/>
      <c r="AA33" s="1"/>
      <c r="AB33" s="1"/>
      <c r="AC33" s="1"/>
    </row>
    <row x14ac:dyDescent="0.25" r="34" customHeight="1" ht="18.75">
      <c r="A34" s="1"/>
      <c r="B34" s="59">
        <v>44506</v>
      </c>
      <c r="C34" s="62">
        <v>17.1998</v>
      </c>
      <c r="D34" s="61">
        <f>SUM(C34-C33)/C33</f>
      </c>
      <c r="E34" s="35">
        <f>SUM($C34/$E$4)</f>
      </c>
      <c r="F34" s="35">
        <f>SUM($C34/$F$4)</f>
      </c>
      <c r="G34" s="35"/>
      <c r="H34" s="35">
        <f>SUM($C34/$H$4)</f>
      </c>
      <c r="I34" s="35">
        <f>SUM($C34/$I$4)</f>
      </c>
      <c r="J34" s="35">
        <f>SUM($C34/$J$4)</f>
      </c>
      <c r="K34" s="35">
        <f>SUM($C34/$K$4)</f>
      </c>
      <c r="L34" s="35">
        <f>SUM($C34/$L$4)</f>
      </c>
      <c r="M34" s="35">
        <f>SUM($C34/$M$4)</f>
      </c>
      <c r="N34" s="35">
        <f>SUM($C34/$N$4)</f>
      </c>
      <c r="O34" s="1"/>
      <c r="P34" s="1"/>
      <c r="Q34" s="2"/>
      <c r="R34" s="2"/>
      <c r="S34" s="2"/>
      <c r="T34" s="25"/>
      <c r="U34" s="2"/>
      <c r="V34" s="1"/>
      <c r="W34" s="1"/>
      <c r="X34" s="1"/>
      <c r="Y34" s="1"/>
      <c r="Z34" s="1"/>
      <c r="AA34" s="1"/>
      <c r="AB34" s="1"/>
      <c r="AC34" s="1"/>
    </row>
    <row x14ac:dyDescent="0.25" r="35" customHeight="1" ht="18.75">
      <c r="A35" s="1"/>
      <c r="B35" s="59">
        <v>44536</v>
      </c>
      <c r="C35" s="62">
        <v>17.9248</v>
      </c>
      <c r="D35" s="61">
        <f>SUM(C35-C34)/C34</f>
      </c>
      <c r="E35" s="35">
        <f>SUM($C35/$E$4)</f>
      </c>
      <c r="F35" s="35">
        <f>SUM($C35/$F$4)</f>
      </c>
      <c r="G35" s="35"/>
      <c r="H35" s="35">
        <f>SUM($C35/$H$4)</f>
      </c>
      <c r="I35" s="35">
        <f>SUM($C35/$I$4)</f>
      </c>
      <c r="J35" s="35">
        <f>SUM($C35/$J$4)</f>
      </c>
      <c r="K35" s="35">
        <f>SUM($C35/$K$4)</f>
      </c>
      <c r="L35" s="35">
        <f>SUM($C35/$L$4)</f>
      </c>
      <c r="M35" s="35">
        <f>SUM($C35/$M$4)</f>
      </c>
      <c r="N35" s="35">
        <f>SUM($C35/$N$4)</f>
      </c>
      <c r="O35" s="1"/>
      <c r="P35" s="1"/>
      <c r="Q35" s="2"/>
      <c r="R35" s="2"/>
      <c r="S35" s="2"/>
      <c r="T35" s="25"/>
      <c r="U35" s="2"/>
      <c r="V35" s="1"/>
      <c r="W35" s="1"/>
      <c r="X35" s="1"/>
      <c r="Y35" s="1"/>
      <c r="Z35" s="1"/>
      <c r="AA35" s="1"/>
      <c r="AB35" s="1"/>
      <c r="AC35" s="1"/>
    </row>
    <row x14ac:dyDescent="0.25" r="36" customHeight="1" ht="18.75">
      <c r="A36" s="1"/>
      <c r="B36" s="59">
        <v>44567</v>
      </c>
      <c r="C36" s="70">
        <f>SUM(C35-0.698)</f>
      </c>
      <c r="D36" s="61">
        <f>SUM(C36-C35)/C35</f>
      </c>
      <c r="E36" s="35">
        <f>SUM($C36/$E$4)</f>
      </c>
      <c r="F36" s="35">
        <f>SUM($C36/$F$4)</f>
      </c>
      <c r="G36" s="35"/>
      <c r="H36" s="35">
        <f>SUM($C36/$H$4)</f>
      </c>
      <c r="I36" s="35">
        <f>SUM($C36/$I$4)</f>
      </c>
      <c r="J36" s="35">
        <f>SUM($C36/$J$4)</f>
      </c>
      <c r="K36" s="35">
        <f>SUM($C36/$K$4)</f>
      </c>
      <c r="L36" s="35">
        <f>SUM($C36/$L$4)</f>
      </c>
      <c r="M36" s="35">
        <f>SUM($C36/$M$4)</f>
      </c>
      <c r="N36" s="35">
        <f>SUM($C36/$N$4)</f>
      </c>
      <c r="O36" s="1"/>
      <c r="P36" s="1"/>
      <c r="Q36" s="2"/>
      <c r="R36" s="2"/>
      <c r="S36" s="2"/>
      <c r="T36" s="25"/>
      <c r="U36" s="2"/>
      <c r="V36" s="1"/>
      <c r="W36" s="1"/>
      <c r="X36" s="1"/>
      <c r="Y36" s="1"/>
      <c r="Z36" s="1"/>
      <c r="AA36" s="1"/>
      <c r="AB36" s="1"/>
      <c r="AC36" s="1"/>
    </row>
    <row x14ac:dyDescent="0.25" r="37" customHeight="1" ht="18.75">
      <c r="A37" s="1"/>
      <c r="B37" s="59">
        <v>44598</v>
      </c>
      <c r="C37" s="70">
        <v>18.0452</v>
      </c>
      <c r="D37" s="61">
        <f>SUM(C37-C36)/C36</f>
      </c>
      <c r="E37" s="35">
        <f>SUM($C37/$E$4)</f>
      </c>
      <c r="F37" s="35">
        <f>SUM($C37/$F$4)</f>
      </c>
      <c r="G37" s="35"/>
      <c r="H37" s="35">
        <f>SUM($C37/$H$4)</f>
      </c>
      <c r="I37" s="35">
        <f>SUM($C37/$I$4)</f>
      </c>
      <c r="J37" s="35">
        <f>SUM($C37/$J$4)</f>
      </c>
      <c r="K37" s="35">
        <f>SUM($C37/$K$4)</f>
      </c>
      <c r="L37" s="35">
        <f>SUM($C37/$L$4)</f>
      </c>
      <c r="M37" s="35">
        <f>SUM($C37/$M$4)</f>
      </c>
      <c r="N37" s="35">
        <f>SUM($C37/$N$4)</f>
      </c>
      <c r="O37" s="1"/>
      <c r="P37" s="1"/>
      <c r="Q37" s="2"/>
      <c r="R37" s="2"/>
      <c r="S37" s="2"/>
      <c r="T37" s="25"/>
      <c r="U37" s="2"/>
      <c r="V37" s="1"/>
      <c r="W37" s="1"/>
      <c r="X37" s="1"/>
      <c r="Y37" s="1"/>
      <c r="Z37" s="1"/>
      <c r="AA37" s="1"/>
      <c r="AB37" s="1"/>
      <c r="AC37" s="1"/>
    </row>
    <row x14ac:dyDescent="0.25" r="38" customHeight="1" ht="18.75">
      <c r="A38" s="1"/>
      <c r="B38" s="59">
        <v>44626</v>
      </c>
      <c r="C38" s="70">
        <v>19.4888</v>
      </c>
      <c r="D38" s="61">
        <f>SUM(C38-C37)/C37</f>
      </c>
      <c r="E38" s="35">
        <f>SUM($C38/$E$4)</f>
      </c>
      <c r="F38" s="35">
        <f>SUM($C38/$F$4)</f>
      </c>
      <c r="G38" s="35"/>
      <c r="H38" s="35">
        <f>SUM($C38/$H$4)</f>
      </c>
      <c r="I38" s="35">
        <f>SUM($C38/$I$4)</f>
      </c>
      <c r="J38" s="35">
        <f>SUM($C38/$J$4)</f>
      </c>
      <c r="K38" s="35">
        <f>SUM($C38/$K$4)</f>
      </c>
      <c r="L38" s="35">
        <f>SUM($C38/$L$4)</f>
      </c>
      <c r="M38" s="35">
        <f>SUM($C38/$M$4)</f>
      </c>
      <c r="N38" s="35">
        <f>SUM($C38/$N$4)</f>
      </c>
      <c r="O38" s="1"/>
      <c r="P38" s="1"/>
      <c r="Q38" s="2"/>
      <c r="R38" s="2"/>
      <c r="S38" s="2"/>
      <c r="T38" s="25"/>
      <c r="U38" s="2"/>
      <c r="V38" s="1"/>
      <c r="W38" s="1"/>
      <c r="X38" s="1"/>
      <c r="Y38" s="1"/>
      <c r="Z38" s="1"/>
      <c r="AA38" s="1"/>
      <c r="AB38" s="1"/>
      <c r="AC38" s="1"/>
    </row>
    <row x14ac:dyDescent="0.25" r="39" customHeight="1" ht="18.75">
      <c r="A39" s="1"/>
      <c r="B39" s="59">
        <v>44657</v>
      </c>
      <c r="C39" s="70">
        <v>21.0144</v>
      </c>
      <c r="D39" s="61">
        <f>SUM(C39-C38)/C38</f>
      </c>
      <c r="E39" s="35">
        <f>SUM($C39/$E$4)</f>
      </c>
      <c r="F39" s="35">
        <f>SUM($C39/$F$4)</f>
      </c>
      <c r="G39" s="35"/>
      <c r="H39" s="35">
        <f>SUM($C39/$H$4)</f>
      </c>
      <c r="I39" s="35">
        <f>SUM($C39/$I$4)</f>
      </c>
      <c r="J39" s="35">
        <f>SUM($C39/$J$4)</f>
      </c>
      <c r="K39" s="35">
        <f>SUM($C39/$K$4)</f>
      </c>
      <c r="L39" s="35">
        <f>SUM($C39/$L$4)</f>
      </c>
      <c r="M39" s="35">
        <f>SUM($C39/$M$4)</f>
      </c>
      <c r="N39" s="35">
        <f>SUM($C39/$N$4)</f>
      </c>
      <c r="O39" s="1"/>
      <c r="P39" s="1"/>
      <c r="Q39" s="2"/>
      <c r="R39" s="2"/>
      <c r="S39" s="2"/>
      <c r="T39" s="25"/>
      <c r="U39" s="2"/>
      <c r="V39" s="1"/>
      <c r="W39" s="1"/>
      <c r="X39" s="1"/>
      <c r="Y39" s="1"/>
      <c r="Z39" s="1"/>
      <c r="AA39" s="1"/>
      <c r="AB39" s="1"/>
      <c r="AC39" s="1"/>
    </row>
    <row x14ac:dyDescent="0.25" r="40" customHeight="1" ht="18.75">
      <c r="A40" s="1"/>
      <c r="B40" s="59">
        <v>44687</v>
      </c>
      <c r="C40" s="70">
        <f>SUM(C39+0.98)</f>
      </c>
      <c r="D40" s="61">
        <f>SUM(C40-C39)/C39</f>
      </c>
      <c r="E40" s="35">
        <f>SUM($C40/$E$4)</f>
      </c>
      <c r="F40" s="35">
        <f>SUM($C40/$F$4)</f>
      </c>
      <c r="G40" s="35"/>
      <c r="H40" s="35">
        <f>SUM($C40/$H$4)</f>
      </c>
      <c r="I40" s="35">
        <f>SUM($C40/$I$4)</f>
      </c>
      <c r="J40" s="35">
        <f>SUM($C40/$J$4)</f>
      </c>
      <c r="K40" s="35">
        <f>SUM($C40/$K$4)</f>
      </c>
      <c r="L40" s="35">
        <f>SUM($C40/$L$4)</f>
      </c>
      <c r="M40" s="35">
        <f>SUM($C40/$M$4)</f>
      </c>
      <c r="N40" s="35">
        <f>SUM($C40/$N$4)</f>
      </c>
      <c r="O40" s="1"/>
      <c r="P40" s="1"/>
      <c r="Q40" s="2"/>
      <c r="R40" s="2"/>
      <c r="S40" s="2"/>
      <c r="T40" s="25"/>
      <c r="U40" s="2"/>
      <c r="V40" s="1"/>
      <c r="W40" s="1"/>
      <c r="X40" s="1"/>
      <c r="Y40" s="1"/>
      <c r="Z40" s="1"/>
      <c r="AA40" s="1"/>
      <c r="AB40" s="1"/>
      <c r="AC40" s="1"/>
    </row>
    <row x14ac:dyDescent="0.25" r="41" customHeight="1" ht="18.75">
      <c r="A41" s="1"/>
      <c r="B41" s="59">
        <v>44718</v>
      </c>
      <c r="C41" s="70">
        <v>23.0944</v>
      </c>
      <c r="D41" s="61">
        <f>SUM(C41-C40)/C40</f>
      </c>
      <c r="E41" s="35">
        <f>SUM($C41/$E$4)</f>
      </c>
      <c r="F41" s="35">
        <f>SUM($C41/$F$4)</f>
      </c>
      <c r="G41" s="35"/>
      <c r="H41" s="35">
        <f>SUM($C41/$H$4)</f>
      </c>
      <c r="I41" s="35">
        <f>SUM($C41/$I$4)</f>
      </c>
      <c r="J41" s="35">
        <f>SUM($C41/$J$4)</f>
      </c>
      <c r="K41" s="35">
        <f>SUM($C41/$K$4)</f>
      </c>
      <c r="L41" s="35">
        <f>SUM($C41/$L$4)</f>
      </c>
      <c r="M41" s="35">
        <f>SUM($C41/$M$4)</f>
      </c>
      <c r="N41" s="35">
        <f>SUM($C41/$N$4)</f>
      </c>
      <c r="O41" s="1"/>
      <c r="P41" s="1"/>
      <c r="Q41" s="2"/>
      <c r="R41" s="2"/>
      <c r="S41" s="2"/>
      <c r="T41" s="25"/>
      <c r="U41" s="2"/>
      <c r="V41" s="1"/>
      <c r="W41" s="1"/>
      <c r="X41" s="1"/>
      <c r="Y41" s="1"/>
      <c r="Z41" s="1"/>
      <c r="AA41" s="1"/>
      <c r="AB41" s="1"/>
      <c r="AC41" s="1"/>
    </row>
    <row x14ac:dyDescent="0.25" r="42" customHeight="1" ht="18.75">
      <c r="A42" s="1"/>
      <c r="B42" s="59">
        <v>44748</v>
      </c>
      <c r="C42" s="70">
        <v>25.4044</v>
      </c>
      <c r="D42" s="61">
        <f>SUM(C42-C41)/C41</f>
      </c>
      <c r="E42" s="35">
        <f>SUM($C42/$E$4)</f>
      </c>
      <c r="F42" s="35">
        <f>SUM($C42/$F$4)</f>
      </c>
      <c r="G42" s="35"/>
      <c r="H42" s="35">
        <f>SUM($C42/$H$4)</f>
      </c>
      <c r="I42" s="35">
        <f>SUM($C42/$I$4)</f>
      </c>
      <c r="J42" s="35">
        <f>SUM($C42/$J$4)</f>
      </c>
      <c r="K42" s="35">
        <f>SUM($C42/$K$4)</f>
      </c>
      <c r="L42" s="35">
        <f>SUM($C42/$L$4)</f>
      </c>
      <c r="M42" s="35">
        <f>SUM($C42/$M$4)</f>
      </c>
      <c r="N42" s="35">
        <f>SUM($C42/$N$4)</f>
      </c>
      <c r="O42" s="1"/>
      <c r="P42" s="1"/>
      <c r="Q42" s="2"/>
      <c r="R42" s="2"/>
      <c r="S42" s="2"/>
      <c r="T42" s="25"/>
      <c r="U42" s="2"/>
      <c r="V42" s="1"/>
      <c r="W42" s="1"/>
      <c r="X42" s="1"/>
      <c r="Y42" s="1"/>
      <c r="Z42" s="1"/>
      <c r="AA42" s="1"/>
      <c r="AB42" s="1"/>
      <c r="AC42" s="1"/>
    </row>
    <row x14ac:dyDescent="0.25" r="43" customHeight="1" ht="18.75">
      <c r="A43" s="1"/>
      <c r="B43" s="59">
        <v>44779</v>
      </c>
      <c r="C43" s="70">
        <v>24.5244</v>
      </c>
      <c r="D43" s="61">
        <f>SUM(C43-C42)/C42</f>
      </c>
      <c r="E43" s="35">
        <f>SUM($C43/$E$4)</f>
      </c>
      <c r="F43" s="35">
        <f>SUM($C43/$F$4)</f>
      </c>
      <c r="G43" s="35"/>
      <c r="H43" s="35">
        <f>SUM($C43/$H$4)</f>
      </c>
      <c r="I43" s="35">
        <f>SUM($C43/$I$4)</f>
      </c>
      <c r="J43" s="35">
        <f>SUM($C43/$J$4)</f>
      </c>
      <c r="K43" s="35">
        <f>SUM($C43/$K$4)</f>
      </c>
      <c r="L43" s="35">
        <f>SUM($C43/$L$4)</f>
      </c>
      <c r="M43" s="35">
        <f>SUM($C43/$M$4)</f>
      </c>
      <c r="N43" s="35">
        <f>SUM($C43/$N$4)</f>
      </c>
      <c r="O43" s="1"/>
      <c r="P43" s="1"/>
      <c r="Q43" s="2"/>
      <c r="R43" s="2"/>
      <c r="S43" s="2"/>
      <c r="T43" s="25"/>
      <c r="U43" s="2"/>
      <c r="V43" s="1"/>
      <c r="W43" s="1"/>
      <c r="X43" s="1"/>
      <c r="Y43" s="1"/>
      <c r="Z43" s="1"/>
      <c r="AA43" s="1"/>
      <c r="AB43" s="1"/>
      <c r="AC43" s="1"/>
    </row>
    <row x14ac:dyDescent="0.25" r="44" customHeight="1" ht="18.75">
      <c r="A44" s="1"/>
      <c r="B44" s="59">
        <v>44810</v>
      </c>
      <c r="C44" s="70">
        <v>23.961</v>
      </c>
      <c r="D44" s="61">
        <f>SUM(C44-C43)/C43</f>
      </c>
      <c r="E44" s="35">
        <f>SUM($C44/$E$4)</f>
      </c>
      <c r="F44" s="35">
        <f>SUM($C44/$F$4)</f>
      </c>
      <c r="G44" s="35"/>
      <c r="H44" s="35">
        <f>SUM($C44/$H$4)</f>
      </c>
      <c r="I44" s="35">
        <f>SUM($C44/$I$4)</f>
      </c>
      <c r="J44" s="35">
        <f>SUM($C44/$J$4)</f>
      </c>
      <c r="K44" s="35">
        <f>SUM($C44/$K$4)</f>
      </c>
      <c r="L44" s="35">
        <f>SUM($C44/$L$4)</f>
      </c>
      <c r="M44" s="35">
        <f>SUM($C44/$M$4)</f>
      </c>
      <c r="N44" s="35">
        <f>SUM($C44/$N$4)</f>
      </c>
      <c r="O44" s="1"/>
      <c r="P44" s="1"/>
      <c r="Q44" s="2"/>
      <c r="R44" s="2"/>
      <c r="S44" s="2"/>
      <c r="T44" s="25"/>
      <c r="U44" s="2"/>
      <c r="V44" s="1"/>
      <c r="W44" s="1"/>
      <c r="X44" s="1"/>
      <c r="Y44" s="1"/>
      <c r="Z44" s="1"/>
      <c r="AA44" s="1"/>
      <c r="AB44" s="1"/>
      <c r="AC44" s="1"/>
    </row>
    <row x14ac:dyDescent="0.25" r="45" customHeight="1" ht="18.75">
      <c r="A45" s="1"/>
      <c r="B45" s="59">
        <v>44840</v>
      </c>
      <c r="C45" s="70">
        <v>24.061</v>
      </c>
      <c r="D45" s="61">
        <f>SUM(C45-C44)/C44</f>
      </c>
      <c r="E45" s="35">
        <f>SUM($C45/$E$4)</f>
      </c>
      <c r="F45" s="35">
        <f>SUM($C45/$F$4)</f>
      </c>
      <c r="G45" s="35"/>
      <c r="H45" s="35">
        <f>SUM($C45/$H$4)</f>
      </c>
      <c r="I45" s="35">
        <f>SUM($C45/$I$4)</f>
      </c>
      <c r="J45" s="35">
        <f>SUM($C45/$J$4)</f>
      </c>
      <c r="K45" s="35">
        <f>SUM($C45/$K$4)</f>
      </c>
      <c r="L45" s="35">
        <f>SUM($C45/$L$4)</f>
      </c>
      <c r="M45" s="35">
        <f>SUM($C45/$M$4)</f>
      </c>
      <c r="N45" s="35">
        <f>SUM($C45/$N$4)</f>
      </c>
      <c r="O45" s="1"/>
      <c r="P45" s="1"/>
      <c r="Q45" s="2"/>
      <c r="R45" s="2"/>
      <c r="S45" s="2"/>
      <c r="T45" s="25"/>
      <c r="U45" s="2"/>
      <c r="V45" s="1"/>
      <c r="W45" s="1"/>
      <c r="X45" s="1"/>
      <c r="Y45" s="1"/>
      <c r="Z45" s="1"/>
      <c r="AA45" s="1"/>
      <c r="AB45" s="1"/>
      <c r="AC45" s="1"/>
    </row>
    <row x14ac:dyDescent="0.25" r="46" customHeight="1" ht="18.75">
      <c r="A46" s="1"/>
      <c r="B46" s="59">
        <v>44871</v>
      </c>
      <c r="C46" s="70">
        <v>25.4896</v>
      </c>
      <c r="D46" s="61">
        <f>SUM(C46-C45)/C45</f>
      </c>
      <c r="E46" s="35">
        <f>SUM($C46/$E$4)</f>
      </c>
      <c r="F46" s="35">
        <f>SUM($C46/$F$4)</f>
      </c>
      <c r="G46" s="35"/>
      <c r="H46" s="35">
        <f>SUM($C46/$H$4)</f>
      </c>
      <c r="I46" s="35">
        <f>SUM($C46/$I$4)</f>
      </c>
      <c r="J46" s="35">
        <f>SUM($C46/$J$4)</f>
      </c>
      <c r="K46" s="35">
        <f>SUM($C46/$K$4)</f>
      </c>
      <c r="L46" s="35">
        <f>SUM($C46/$L$4)</f>
      </c>
      <c r="M46" s="35">
        <f>SUM($C46/$M$4)</f>
      </c>
      <c r="N46" s="35">
        <f>SUM($C46/$N$4)</f>
      </c>
      <c r="O46" s="1"/>
      <c r="P46" s="1"/>
      <c r="Q46" s="2"/>
      <c r="R46" s="2"/>
      <c r="S46" s="2"/>
      <c r="T46" s="25"/>
      <c r="U46" s="2"/>
      <c r="V46" s="1"/>
      <c r="W46" s="1"/>
      <c r="X46" s="1"/>
      <c r="Y46" s="1"/>
      <c r="Z46" s="1"/>
      <c r="AA46" s="1"/>
      <c r="AB46" s="1"/>
      <c r="AC46" s="1"/>
    </row>
    <row x14ac:dyDescent="0.25" r="47" customHeight="1" ht="18.75">
      <c r="A47" s="1"/>
      <c r="B47" s="59">
        <v>44901</v>
      </c>
      <c r="C47" s="70">
        <v>23.9177</v>
      </c>
      <c r="D47" s="61">
        <f>SUM(C47-C46)/C46</f>
      </c>
      <c r="E47" s="35">
        <f>SUM($C47/$E$4)</f>
      </c>
      <c r="F47" s="35">
        <f>SUM($C47/$F$4)</f>
      </c>
      <c r="G47" s="35"/>
      <c r="H47" s="35">
        <f>SUM($C47/$H$4)</f>
      </c>
      <c r="I47" s="35">
        <f>SUM($C47/$I$4)</f>
      </c>
      <c r="J47" s="35">
        <f>SUM($C47/$J$4)</f>
      </c>
      <c r="K47" s="35">
        <f>SUM($C47/$K$4)</f>
      </c>
      <c r="L47" s="35">
        <f>SUM($C47/$L$4)</f>
      </c>
      <c r="M47" s="35">
        <f>SUM($C47/$M$4)</f>
      </c>
      <c r="N47" s="35">
        <f>SUM($C47/$N$4)</f>
      </c>
      <c r="O47" s="1"/>
      <c r="P47" s="1"/>
      <c r="Q47" s="2"/>
      <c r="R47" s="2"/>
      <c r="S47" s="2"/>
      <c r="T47" s="25"/>
      <c r="U47" s="2"/>
      <c r="V47" s="1"/>
      <c r="W47" s="1"/>
      <c r="X47" s="1"/>
      <c r="Y47" s="1"/>
      <c r="Z47" s="1"/>
      <c r="AA47" s="1"/>
      <c r="AB47" s="1"/>
      <c r="AC47" s="1"/>
    </row>
    <row x14ac:dyDescent="0.25" r="48" customHeight="1" ht="18.75">
      <c r="A48" s="1"/>
      <c r="B48" s="59">
        <v>44932</v>
      </c>
      <c r="C48" s="70">
        <v>21.2287</v>
      </c>
      <c r="D48" s="61">
        <f>SUM(C48-C47)/C47</f>
      </c>
      <c r="E48" s="35">
        <f>SUM($C48/$E$4)</f>
      </c>
      <c r="F48" s="35">
        <f>SUM($C48/$F$4)</f>
      </c>
      <c r="G48" s="35"/>
      <c r="H48" s="35">
        <f>SUM($C48/$H$4)</f>
      </c>
      <c r="I48" s="35">
        <f>SUM($C48/$I$4)</f>
      </c>
      <c r="J48" s="35">
        <f>SUM($C48/$J$4)</f>
      </c>
      <c r="K48" s="35">
        <f>SUM($C48/$K$4)</f>
      </c>
      <c r="L48" s="35">
        <f>SUM($C48/$L$4)</f>
      </c>
      <c r="M48" s="35">
        <f>SUM($C48/$M$4)</f>
      </c>
      <c r="N48" s="35">
        <f>SUM($C48/$N$4)</f>
      </c>
      <c r="O48" s="1"/>
      <c r="P48" s="1"/>
      <c r="Q48" s="2"/>
      <c r="R48" s="2"/>
      <c r="S48" s="2"/>
      <c r="T48" s="25"/>
      <c r="U48" s="2"/>
      <c r="V48" s="1"/>
      <c r="W48" s="1"/>
      <c r="X48" s="1"/>
      <c r="Y48" s="1"/>
      <c r="Z48" s="1"/>
      <c r="AA48" s="1"/>
      <c r="AB48" s="1"/>
      <c r="AC48" s="1"/>
    </row>
    <row x14ac:dyDescent="0.25" r="49" customHeight="1" ht="18.75">
      <c r="A49" s="1"/>
      <c r="B49" s="59">
        <v>44963</v>
      </c>
      <c r="C49" s="70">
        <v>21.3203</v>
      </c>
      <c r="D49" s="61">
        <f>SUM(C49-C48)/C48</f>
      </c>
      <c r="E49" s="35">
        <f>SUM($C49/$E$4)</f>
      </c>
      <c r="F49" s="35">
        <f>SUM($C49/$F$4)</f>
      </c>
      <c r="G49" s="35"/>
      <c r="H49" s="35">
        <f>SUM($C49/$H$4)</f>
      </c>
      <c r="I49" s="35">
        <f>SUM($C49/$I$4)</f>
      </c>
      <c r="J49" s="35">
        <f>SUM($C49/$J$4)</f>
      </c>
      <c r="K49" s="35">
        <f>SUM($C49/$K$4)</f>
      </c>
      <c r="L49" s="35">
        <f>SUM($C49/$L$4)</f>
      </c>
      <c r="M49" s="35">
        <f>SUM($C49/$M$4)</f>
      </c>
      <c r="N49" s="35">
        <f>SUM($C49/$N$4)</f>
      </c>
      <c r="O49" s="1"/>
      <c r="P49" s="1"/>
      <c r="Q49" s="2"/>
      <c r="R49" s="2"/>
      <c r="S49" s="2"/>
      <c r="T49" s="25"/>
      <c r="U49" s="2"/>
      <c r="V49" s="1"/>
      <c r="W49" s="1"/>
      <c r="X49" s="1"/>
      <c r="Y49" s="1"/>
      <c r="Z49" s="1"/>
      <c r="AA49" s="1"/>
      <c r="AB49" s="1"/>
      <c r="AC49" s="1"/>
    </row>
    <row x14ac:dyDescent="0.25" r="50" customHeight="1" ht="18.75">
      <c r="A50" s="1"/>
      <c r="B50" s="59">
        <v>44991</v>
      </c>
      <c r="C50" s="70">
        <v>21.6241</v>
      </c>
      <c r="D50" s="61">
        <f>SUM(C50-C49)/C49</f>
      </c>
      <c r="E50" s="35">
        <f>SUM($C50/$E$4)</f>
      </c>
      <c r="F50" s="35">
        <f>SUM($C50/$F$4)</f>
      </c>
      <c r="G50" s="35"/>
      <c r="H50" s="35">
        <f>SUM($C50/$H$4)</f>
      </c>
      <c r="I50" s="35">
        <f>SUM($C50/$I$4)</f>
      </c>
      <c r="J50" s="35">
        <f>SUM($C50/$J$4)</f>
      </c>
      <c r="K50" s="35">
        <f>SUM($C50/$K$4)</f>
      </c>
      <c r="L50" s="35">
        <f>SUM($C50/$L$4)</f>
      </c>
      <c r="M50" s="35">
        <f>SUM($C50/$M$4)</f>
      </c>
      <c r="N50" s="35">
        <f>SUM($C50/$N$4)</f>
      </c>
      <c r="O50" s="1"/>
      <c r="P50" s="1"/>
      <c r="Q50" s="2"/>
      <c r="R50" s="2"/>
      <c r="S50" s="2"/>
      <c r="T50" s="25"/>
      <c r="U50" s="2"/>
      <c r="V50" s="1"/>
      <c r="W50" s="1"/>
      <c r="X50" s="1"/>
      <c r="Y50" s="1"/>
      <c r="Z50" s="1"/>
      <c r="AA50" s="1"/>
      <c r="AB50" s="1"/>
      <c r="AC50" s="1"/>
    </row>
    <row x14ac:dyDescent="0.25" r="51" customHeight="1" ht="18.75">
      <c r="A51" s="1"/>
      <c r="B51" s="59">
        <v>45022</v>
      </c>
      <c r="C51" s="70">
        <v>20.8883</v>
      </c>
      <c r="D51" s="61">
        <f>SUM(C51-C50)/C50</f>
      </c>
      <c r="E51" s="35">
        <f>SUM($C51/$E$4)</f>
      </c>
      <c r="F51" s="35">
        <f>SUM($C51/$F$4)</f>
      </c>
      <c r="G51" s="35"/>
      <c r="H51" s="35">
        <f>SUM($C51/$H$4)</f>
      </c>
      <c r="I51" s="35">
        <f>SUM($C51/$I$4)</f>
      </c>
      <c r="J51" s="35">
        <f>SUM($C51/$J$4)</f>
      </c>
      <c r="K51" s="35">
        <f>SUM($C51/$K$4)</f>
      </c>
      <c r="L51" s="35">
        <f>SUM($C51/$L$4)</f>
      </c>
      <c r="M51" s="35">
        <f>SUM($C51/$M$4)</f>
      </c>
      <c r="N51" s="35">
        <f>SUM($C51/$N$4)</f>
      </c>
      <c r="O51" s="1"/>
      <c r="P51" s="1"/>
      <c r="Q51" s="2"/>
      <c r="R51" s="2"/>
      <c r="S51" s="2"/>
      <c r="T51" s="25"/>
      <c r="U51" s="2"/>
      <c r="V51" s="1"/>
      <c r="W51" s="1"/>
      <c r="X51" s="1"/>
      <c r="Y51" s="1"/>
      <c r="Z51" s="1"/>
      <c r="AA51" s="1"/>
      <c r="AB51" s="1"/>
      <c r="AC51" s="1"/>
    </row>
    <row x14ac:dyDescent="0.25" r="52" customHeight="1" ht="18.75">
      <c r="A52" s="1"/>
      <c r="B52" s="59">
        <v>45052</v>
      </c>
      <c r="C52" s="70">
        <v>20.1529</v>
      </c>
      <c r="D52" s="61">
        <f>SUM(C52-C51)/C51</f>
      </c>
      <c r="E52" s="35">
        <f>SUM($C52/$E$4)</f>
      </c>
      <c r="F52" s="35">
        <f>SUM($C52/$F$4)</f>
      </c>
      <c r="G52" s="35"/>
      <c r="H52" s="35">
        <f>SUM($C52/$H$4)</f>
      </c>
      <c r="I52" s="35">
        <f>SUM($C52/$I$4)</f>
      </c>
      <c r="J52" s="35">
        <f>SUM($C52/$J$4)</f>
      </c>
      <c r="K52" s="35">
        <f>SUM($C52/$K$4)</f>
      </c>
      <c r="L52" s="35">
        <f>SUM($C52/$L$4)</f>
      </c>
      <c r="M52" s="35">
        <f>SUM($C52/$M$4)</f>
      </c>
      <c r="N52" s="35">
        <f>SUM($C52/$N$4)</f>
      </c>
      <c r="O52" s="1"/>
      <c r="P52" s="1"/>
      <c r="Q52" s="2"/>
      <c r="R52" s="2"/>
      <c r="S52" s="2"/>
      <c r="T52" s="25"/>
      <c r="U52" s="2"/>
      <c r="V52" s="1"/>
      <c r="W52" s="1"/>
      <c r="X52" s="1"/>
      <c r="Y52" s="1"/>
      <c r="Z52" s="1"/>
      <c r="AA52" s="1"/>
      <c r="AB52" s="1"/>
      <c r="AC52" s="1"/>
    </row>
    <row x14ac:dyDescent="0.25" r="53" customHeight="1" ht="18.75">
      <c r="A53" s="1"/>
      <c r="B53" s="59">
        <v>45083</v>
      </c>
      <c r="C53" s="70">
        <v>19.3129</v>
      </c>
      <c r="D53" s="61">
        <f>SUM(C53-C52)/C52</f>
      </c>
      <c r="E53" s="35">
        <f>SUM($C53/$E$4)</f>
      </c>
      <c r="F53" s="35">
        <f>SUM($C53/$F$4)</f>
      </c>
      <c r="G53" s="35"/>
      <c r="H53" s="35">
        <f>SUM($C53/$H$4)</f>
      </c>
      <c r="I53" s="35">
        <f>SUM($C53/$I$4)</f>
      </c>
      <c r="J53" s="35">
        <f>SUM($C53/$J$4)</f>
      </c>
      <c r="K53" s="35">
        <f>SUM($C53/$K$4)</f>
      </c>
      <c r="L53" s="35">
        <f>SUM($C53/$L$4)</f>
      </c>
      <c r="M53" s="35">
        <f>SUM($C53/$M$4)</f>
      </c>
      <c r="N53" s="35">
        <f>SUM($C53/$N$4)</f>
      </c>
      <c r="O53" s="1"/>
      <c r="P53" s="1"/>
      <c r="Q53" s="2"/>
      <c r="R53" s="2"/>
      <c r="S53" s="2"/>
      <c r="T53" s="25"/>
      <c r="U53" s="2"/>
      <c r="V53" s="1"/>
      <c r="W53" s="1"/>
      <c r="X53" s="1"/>
      <c r="Y53" s="1"/>
      <c r="Z53" s="1"/>
      <c r="AA53" s="1"/>
      <c r="AB53" s="1"/>
      <c r="AC53" s="1"/>
    </row>
    <row x14ac:dyDescent="0.25" r="54" customHeight="1" ht="18.75">
      <c r="A54" s="1"/>
      <c r="B54" s="59">
        <v>45113</v>
      </c>
      <c r="C54" s="70">
        <v>19.4929</v>
      </c>
      <c r="D54" s="61">
        <f>SUM(C54-C53)/C53</f>
      </c>
      <c r="E54" s="35">
        <f>SUM($C54/$E$4)</f>
      </c>
      <c r="F54" s="35">
        <f>SUM($C54/$F$4)</f>
      </c>
      <c r="G54" s="35"/>
      <c r="H54" s="35">
        <f>SUM($C54/$H$4)</f>
      </c>
      <c r="I54" s="35">
        <f>SUM($C54/$I$4)</f>
      </c>
      <c r="J54" s="35">
        <f>SUM($C54/$J$4)</f>
      </c>
      <c r="K54" s="35">
        <f>SUM($C54/$K$4)</f>
      </c>
      <c r="L54" s="35">
        <f>SUM($C54/$L$4)</f>
      </c>
      <c r="M54" s="35">
        <f>SUM($C54/$M$4)</f>
      </c>
      <c r="N54" s="35">
        <f>SUM($C54/$N$4)</f>
      </c>
      <c r="O54" s="1"/>
      <c r="P54" s="1"/>
      <c r="Q54" s="2"/>
      <c r="R54" s="2"/>
      <c r="S54" s="2"/>
      <c r="T54" s="25"/>
      <c r="U54" s="2"/>
      <c r="V54" s="1"/>
      <c r="W54" s="1"/>
      <c r="X54" s="1"/>
      <c r="Y54" s="1"/>
      <c r="Z54" s="1"/>
      <c r="AA54" s="1"/>
      <c r="AB54" s="1"/>
      <c r="AC54" s="1"/>
    </row>
    <row x14ac:dyDescent="0.25" r="55" customHeight="1" ht="18.75">
      <c r="A55" s="1"/>
      <c r="B55" s="59">
        <v>45144</v>
      </c>
      <c r="C55" s="35">
        <v>20.2129</v>
      </c>
      <c r="D55" s="61">
        <f>SUM(C55-C54)/C54</f>
      </c>
      <c r="E55" s="35">
        <f>SUM($C55/$E$4)</f>
      </c>
      <c r="F55" s="35">
        <f>SUM($C55/$F$4)</f>
      </c>
      <c r="G55" s="35"/>
      <c r="H55" s="35">
        <f>SUM($C55/$H$4)</f>
      </c>
      <c r="I55" s="35">
        <f>SUM($C55/$I$4)</f>
      </c>
      <c r="J55" s="35">
        <f>SUM($C55/$J$4)</f>
      </c>
      <c r="K55" s="35">
        <f>SUM($C55/$K$4)</f>
      </c>
      <c r="L55" s="35">
        <f>SUM($C55/$L$4)</f>
      </c>
      <c r="M55" s="35">
        <f>SUM($C55/$M$4)</f>
      </c>
      <c r="N55" s="35">
        <f>SUM($C55/$N$4)</f>
      </c>
      <c r="O55" s="1"/>
      <c r="P55" s="1"/>
      <c r="Q55" s="2"/>
      <c r="R55" s="2"/>
      <c r="S55" s="2"/>
      <c r="T55" s="25"/>
      <c r="U55" s="2"/>
      <c r="V55" s="1"/>
      <c r="W55" s="1"/>
      <c r="X55" s="1"/>
      <c r="Y55" s="1"/>
      <c r="Z55" s="1"/>
      <c r="AA55" s="1"/>
      <c r="AB55" s="1"/>
      <c r="AC55" s="1"/>
    </row>
    <row x14ac:dyDescent="0.25" r="56" customHeight="1" ht="18.75">
      <c r="A56" s="1"/>
      <c r="B56" s="59">
        <v>45175</v>
      </c>
      <c r="C56" s="35">
        <v>23.0529</v>
      </c>
      <c r="D56" s="61">
        <f>SUM(C56-C55)/C55</f>
      </c>
      <c r="E56" s="35">
        <f>SUM($C56/$E$4)</f>
      </c>
      <c r="F56" s="35">
        <f>SUM($C56/$F$4)</f>
      </c>
      <c r="G56" s="35"/>
      <c r="H56" s="35">
        <f>SUM($C56/$H$4)</f>
      </c>
      <c r="I56" s="35">
        <f>SUM($C56/$I$4)</f>
      </c>
      <c r="J56" s="35">
        <f>SUM($C56/$J$4)</f>
      </c>
      <c r="K56" s="35">
        <f>SUM($C56/$K$4)</f>
      </c>
      <c r="L56" s="35">
        <f>SUM($C56/$L$4)</f>
      </c>
      <c r="M56" s="35">
        <f>SUM($C56/$M$4)</f>
      </c>
      <c r="N56" s="35">
        <f>SUM($C56/$N$4)</f>
      </c>
      <c r="O56" s="1"/>
      <c r="P56" s="1"/>
      <c r="Q56" s="2"/>
      <c r="R56" s="2"/>
      <c r="S56" s="2"/>
      <c r="T56" s="25"/>
      <c r="U56" s="2"/>
      <c r="V56" s="1"/>
      <c r="W56" s="1"/>
      <c r="X56" s="1"/>
      <c r="Y56" s="1"/>
      <c r="Z56" s="1"/>
      <c r="AA56" s="1"/>
      <c r="AB56" s="1"/>
      <c r="AC56" s="1"/>
    </row>
    <row x14ac:dyDescent="0.25" r="57" customHeight="1" ht="18.75">
      <c r="A57" s="1"/>
      <c r="B57" s="59">
        <v>45205</v>
      </c>
      <c r="C57" s="35">
        <v>25.0199</v>
      </c>
      <c r="D57" s="61">
        <f>SUM(C57-C56)/C56</f>
      </c>
      <c r="E57" s="35">
        <f>SUM($C57/$E$4)</f>
      </c>
      <c r="F57" s="35">
        <f>SUM($C57/$F$4)</f>
      </c>
      <c r="G57" s="35"/>
      <c r="H57" s="35">
        <f>SUM($C57/$H$4)</f>
      </c>
      <c r="I57" s="35">
        <f>SUM($C57/$I$4)</f>
      </c>
      <c r="J57" s="35">
        <f>SUM($C57/$J$4)</f>
      </c>
      <c r="K57" s="35">
        <f>SUM($C57/$K$4)</f>
      </c>
      <c r="L57" s="35">
        <f>SUM($C57/$L$4)</f>
      </c>
      <c r="M57" s="35">
        <f>SUM($C57/$M$4)</f>
      </c>
      <c r="N57" s="35">
        <f>SUM($C57/$N$4)</f>
      </c>
      <c r="O57" s="1"/>
      <c r="P57" s="1"/>
      <c r="Q57" s="2"/>
      <c r="R57" s="2"/>
      <c r="S57" s="2"/>
      <c r="T57" s="25"/>
      <c r="U57" s="2"/>
      <c r="V57" s="1"/>
      <c r="W57" s="1"/>
      <c r="X57" s="1"/>
      <c r="Y57" s="1"/>
      <c r="Z57" s="1"/>
      <c r="AA57" s="1"/>
      <c r="AB57" s="1"/>
      <c r="AC57" s="1"/>
    </row>
    <row x14ac:dyDescent="0.25" r="58" customHeight="1" ht="18.75">
      <c r="A58" s="1"/>
      <c r="B58" s="59">
        <v>45236</v>
      </c>
      <c r="C58" s="35">
        <v>24.1691</v>
      </c>
      <c r="D58" s="61">
        <f>SUM(C58-C57)/C57</f>
      </c>
      <c r="E58" s="35">
        <f>SUM($C58/$E$4)</f>
      </c>
      <c r="F58" s="35">
        <f>SUM($C58/$F$4)</f>
      </c>
      <c r="G58" s="35"/>
      <c r="H58" s="35">
        <f>SUM($C58/$H$4)</f>
      </c>
      <c r="I58" s="35">
        <f>SUM($C58/$I$4)</f>
      </c>
      <c r="J58" s="35">
        <f>SUM($C58/$J$4)</f>
      </c>
      <c r="K58" s="35">
        <f>SUM($C58/$K$4)</f>
      </c>
      <c r="L58" s="35">
        <f>SUM($C58/$L$4)</f>
      </c>
      <c r="M58" s="35">
        <f>SUM($C58/$M$4)</f>
      </c>
      <c r="N58" s="35">
        <f>SUM($C58/$N$4)</f>
      </c>
      <c r="O58" s="1"/>
      <c r="P58" s="1"/>
      <c r="Q58" s="2"/>
      <c r="R58" s="2"/>
      <c r="S58" s="2"/>
      <c r="T58" s="25"/>
      <c r="U58" s="2"/>
      <c r="V58" s="1"/>
      <c r="W58" s="1"/>
      <c r="X58" s="1"/>
      <c r="Y58" s="1"/>
      <c r="Z58" s="1"/>
      <c r="AA58" s="1"/>
      <c r="AB58" s="1"/>
      <c r="AC58" s="1"/>
    </row>
    <row x14ac:dyDescent="0.25" r="59" customHeight="1" ht="18.75">
      <c r="A59" s="1"/>
      <c r="B59" s="59">
        <v>45266</v>
      </c>
      <c r="C59" s="35">
        <v>21.8149</v>
      </c>
      <c r="D59" s="61">
        <f>SUM(C59-C58)/C58</f>
      </c>
      <c r="E59" s="35">
        <f>SUM($C59/$E$4)</f>
      </c>
      <c r="F59" s="35">
        <f>SUM($C59/$F$4)</f>
      </c>
      <c r="G59" s="35"/>
      <c r="H59" s="35">
        <f>SUM($C59/$H$4)</f>
      </c>
      <c r="I59" s="35">
        <f>SUM($C59/$I$4)</f>
      </c>
      <c r="J59" s="35">
        <f>SUM($C59/$J$4)</f>
      </c>
      <c r="K59" s="35">
        <f>SUM($C59/$K$4)</f>
      </c>
      <c r="L59" s="35">
        <f>SUM($C59/$L$4)</f>
      </c>
      <c r="M59" s="35">
        <f>SUM($C59/$M$4)</f>
      </c>
      <c r="N59" s="35">
        <f>SUM($C59/$N$4)</f>
      </c>
      <c r="O59" s="1"/>
      <c r="P59" s="1"/>
      <c r="Q59" s="2"/>
      <c r="R59" s="2"/>
      <c r="S59" s="2"/>
      <c r="T59" s="25"/>
      <c r="U59" s="2"/>
      <c r="V59" s="1"/>
      <c r="W59" s="1"/>
      <c r="X59" s="1"/>
      <c r="Y59" s="1"/>
      <c r="Z59" s="1"/>
      <c r="AA59" s="1"/>
      <c r="AB59" s="1"/>
      <c r="AC59" s="1"/>
    </row>
    <row x14ac:dyDescent="0.25" r="60" customHeight="1" ht="18.75">
      <c r="A60" s="1"/>
      <c r="B60" s="59">
        <v>45294</v>
      </c>
      <c r="C60" s="35">
        <v>20.6317</v>
      </c>
      <c r="D60" s="61">
        <f>SUM(C60-C59)/C59</f>
      </c>
      <c r="E60" s="35">
        <f>SUM($C60/$E$4)</f>
      </c>
      <c r="F60" s="35">
        <f>SUM($C60/$F$4)</f>
      </c>
      <c r="G60" s="35"/>
      <c r="H60" s="35">
        <f>SUM($C60/$H$4)</f>
      </c>
      <c r="I60" s="35">
        <f>SUM($C60/$I$4)</f>
      </c>
      <c r="J60" s="35">
        <f>SUM($C60/$J$4)</f>
      </c>
      <c r="K60" s="35">
        <f>SUM($C60/$K$4)</f>
      </c>
      <c r="L60" s="35">
        <f>SUM($C60/$L$4)</f>
      </c>
      <c r="M60" s="35">
        <f>SUM($C60/$M$4)</f>
      </c>
      <c r="N60" s="35">
        <f>SUM($C60/$N$4)</f>
      </c>
      <c r="O60" s="1"/>
      <c r="P60" s="1"/>
      <c r="Q60" s="2"/>
      <c r="R60" s="2"/>
      <c r="S60" s="2"/>
      <c r="T60" s="25"/>
      <c r="U60" s="2"/>
      <c r="V60" s="1"/>
      <c r="W60" s="1"/>
      <c r="X60" s="1"/>
      <c r="Y60" s="1"/>
      <c r="Z60" s="1"/>
      <c r="AA60" s="1"/>
      <c r="AB60" s="1"/>
      <c r="AC60" s="1"/>
    </row>
    <row x14ac:dyDescent="0.25" r="61" customHeight="1" ht="18.75">
      <c r="A61" s="1"/>
      <c r="B61" s="59">
        <v>45328</v>
      </c>
      <c r="C61" s="35">
        <v>21.3617</v>
      </c>
      <c r="D61" s="61">
        <f>SUM(C61-C60)/C60</f>
      </c>
      <c r="E61" s="35">
        <f>SUM($C61/$E$4)</f>
      </c>
      <c r="F61" s="35">
        <f>SUM($C61/$F$4)</f>
      </c>
      <c r="G61" s="35"/>
      <c r="H61" s="35">
        <f>SUM($C61/$H$4)</f>
      </c>
      <c r="I61" s="35">
        <f>SUM($C61/$I$4)</f>
      </c>
      <c r="J61" s="35">
        <f>SUM($C61/$J$4)</f>
      </c>
      <c r="K61" s="35">
        <f>SUM($C61/$K$4)</f>
      </c>
      <c r="L61" s="35">
        <f>SUM($C61/$L$4)</f>
      </c>
      <c r="M61" s="35">
        <f>SUM($C61/$M$4)</f>
      </c>
      <c r="N61" s="35">
        <f>SUM($C61/$N$4)</f>
      </c>
      <c r="O61" s="1"/>
      <c r="P61" s="1"/>
      <c r="Q61" s="2"/>
      <c r="R61" s="2"/>
      <c r="S61" s="2"/>
      <c r="T61" s="25"/>
      <c r="U61" s="2"/>
      <c r="V61" s="1"/>
      <c r="W61" s="1"/>
      <c r="X61" s="1"/>
      <c r="Y61" s="1"/>
      <c r="Z61" s="1"/>
      <c r="AA61" s="1"/>
      <c r="AB61" s="1"/>
      <c r="AC61" s="1"/>
    </row>
    <row x14ac:dyDescent="0.25" r="62" customHeight="1" ht="18.75">
      <c r="A62" s="1"/>
      <c r="B62" s="59">
        <v>45357</v>
      </c>
      <c r="C62" s="35">
        <v>22.4187</v>
      </c>
      <c r="D62" s="61">
        <f>SUM(C62-C61)/C61</f>
      </c>
      <c r="E62" s="35">
        <f>SUM($C62/$E$4)</f>
      </c>
      <c r="F62" s="35">
        <f>SUM($C62/$F$4)</f>
      </c>
      <c r="G62" s="35"/>
      <c r="H62" s="35">
        <f>SUM($C62/$H$4)</f>
      </c>
      <c r="I62" s="35">
        <f>SUM($C62/$I$4)</f>
      </c>
      <c r="J62" s="35">
        <f>SUM($C62/$J$4)</f>
      </c>
      <c r="K62" s="35">
        <f>SUM($C62/$K$4)</f>
      </c>
      <c r="L62" s="35">
        <f>SUM($C62/$L$4)</f>
      </c>
      <c r="M62" s="35">
        <f>SUM($C62/$M$4)</f>
      </c>
      <c r="N62" s="35">
        <f>SUM($C62/$N$4)</f>
      </c>
      <c r="O62" s="1"/>
      <c r="P62" s="1"/>
      <c r="Q62" s="2"/>
      <c r="R62" s="2"/>
      <c r="S62" s="2"/>
      <c r="T62" s="25"/>
      <c r="U62" s="2"/>
      <c r="V62" s="1"/>
      <c r="W62" s="1"/>
      <c r="X62" s="1"/>
      <c r="Y62" s="1"/>
      <c r="Z62" s="1"/>
      <c r="AA62" s="1"/>
      <c r="AB62" s="1"/>
      <c r="AC62" s="1"/>
    </row>
    <row x14ac:dyDescent="0.25" r="63" customHeight="1" ht="18.75">
      <c r="A63" s="1"/>
      <c r="B63" s="59">
        <v>45388</v>
      </c>
      <c r="C63" s="35">
        <v>22.4509</v>
      </c>
      <c r="D63" s="61">
        <f>SUM(C63-C62)/C62</f>
      </c>
      <c r="E63" s="35">
        <f>SUM($C63/$E$4)</f>
      </c>
      <c r="F63" s="35">
        <f>SUM($C63/$F$4)</f>
      </c>
      <c r="G63" s="35"/>
      <c r="H63" s="35">
        <f>SUM($C63/$H$4)</f>
      </c>
      <c r="I63" s="35">
        <f>SUM($C63/$I$4)</f>
      </c>
      <c r="J63" s="35">
        <f>SUM($C63/$J$4)</f>
      </c>
      <c r="K63" s="35">
        <f>SUM($C63/$K$4)</f>
      </c>
      <c r="L63" s="35">
        <f>SUM($C63/$L$4)</f>
      </c>
      <c r="M63" s="35">
        <f>SUM($C63/$M$4)</f>
      </c>
      <c r="N63" s="35">
        <f>SUM($C63/$N$4)</f>
      </c>
      <c r="O63" s="1"/>
      <c r="P63" s="1"/>
      <c r="Q63" s="2"/>
      <c r="R63" s="2"/>
      <c r="S63" s="2"/>
      <c r="T63" s="25"/>
      <c r="U63" s="2"/>
      <c r="V63" s="1"/>
      <c r="W63" s="1"/>
      <c r="X63" s="1"/>
      <c r="Y63" s="1"/>
      <c r="Z63" s="1"/>
      <c r="AA63" s="1"/>
      <c r="AB63" s="1"/>
      <c r="AC63" s="1"/>
    </row>
    <row x14ac:dyDescent="0.25" r="64" customHeight="1" ht="18.75">
      <c r="A64" s="1"/>
      <c r="B64" s="59">
        <v>45418</v>
      </c>
      <c r="C64" s="35">
        <v>22.1509</v>
      </c>
      <c r="D64" s="61">
        <f>SUM(C64-C63)/C63</f>
      </c>
      <c r="E64" s="35">
        <f>SUM($C64/$E$4)</f>
      </c>
      <c r="F64" s="35">
        <f>SUM($C64/$F$4)</f>
      </c>
      <c r="G64" s="35"/>
      <c r="H64" s="35">
        <f>SUM($C64/$H$4)</f>
      </c>
      <c r="I64" s="35">
        <f>SUM($C64/$I$4)</f>
      </c>
      <c r="J64" s="35">
        <f>SUM($C64/$J$4)</f>
      </c>
      <c r="K64" s="35">
        <f>SUM($C64/$K$4)</f>
      </c>
      <c r="L64" s="35">
        <f>SUM($C64/$L$4)</f>
      </c>
      <c r="M64" s="35">
        <f>SUM($C64/$M$4)</f>
      </c>
      <c r="N64" s="35">
        <f>SUM($C64/$N$4)</f>
      </c>
      <c r="O64" s="1"/>
      <c r="P64" s="1"/>
      <c r="Q64" s="2"/>
      <c r="R64" s="2"/>
      <c r="S64" s="2"/>
      <c r="T64" s="25"/>
      <c r="U64" s="2"/>
      <c r="V64" s="1"/>
      <c r="W64" s="1"/>
      <c r="X64" s="1"/>
      <c r="Y64" s="1"/>
      <c r="Z64" s="1"/>
      <c r="AA64" s="1"/>
      <c r="AB64" s="1"/>
      <c r="AC64" s="1"/>
    </row>
    <row x14ac:dyDescent="0.25" r="65" customHeight="1" ht="18.75">
      <c r="A65" s="1"/>
      <c r="B65" s="59">
        <v>45449</v>
      </c>
      <c r="C65" s="35">
        <v>20.9655</v>
      </c>
      <c r="D65" s="61">
        <f>SUM(C65-C64)/C64</f>
      </c>
      <c r="E65" s="35">
        <f>SUM($C65/$E$4)</f>
      </c>
      <c r="F65" s="35">
        <f>SUM($C65/$F$4)</f>
      </c>
      <c r="G65" s="35"/>
      <c r="H65" s="35">
        <f>SUM($C65/$H$4)</f>
      </c>
      <c r="I65" s="35">
        <f>SUM($C65/$I$4)</f>
      </c>
      <c r="J65" s="35">
        <f>SUM($C65/$J$4)</f>
      </c>
      <c r="K65" s="35">
        <f>SUM($C65/$K$4)</f>
      </c>
      <c r="L65" s="35">
        <f>SUM($C65/$L$4)</f>
      </c>
      <c r="M65" s="35">
        <f>SUM($C65/$M$4)</f>
      </c>
      <c r="N65" s="35">
        <f>SUM($C65/$N$4)</f>
      </c>
      <c r="O65" s="1"/>
      <c r="P65" s="1"/>
      <c r="Q65" s="2"/>
      <c r="R65" s="2"/>
      <c r="S65" s="2"/>
      <c r="T65" s="25"/>
      <c r="U65" s="2"/>
      <c r="V65" s="1"/>
      <c r="W65" s="1"/>
      <c r="X65" s="1"/>
      <c r="Y65" s="1"/>
      <c r="Z65" s="1"/>
      <c r="AA65" s="1"/>
      <c r="AB65" s="1"/>
      <c r="AC65" s="1"/>
    </row>
    <row x14ac:dyDescent="0.25" r="66" customHeight="1" ht="18.75">
      <c r="A66" s="1"/>
      <c r="B66" s="59">
        <v>45479</v>
      </c>
      <c r="C66" s="35">
        <v>20.6617</v>
      </c>
      <c r="D66" s="61">
        <f>SUM(C66-C65)/C65</f>
      </c>
      <c r="E66" s="35">
        <f>SUM($C66/$E$4)</f>
      </c>
      <c r="F66" s="35">
        <f>SUM($C66/$F$4)</f>
      </c>
      <c r="G66" s="35"/>
      <c r="H66" s="35">
        <f>SUM($C66/$H$4)</f>
      </c>
      <c r="I66" s="35">
        <f>SUM($C66/$I$4)</f>
      </c>
      <c r="J66" s="35">
        <f>SUM($C66/$J$4)</f>
      </c>
      <c r="K66" s="35">
        <f>SUM($C66/$K$4)</f>
      </c>
      <c r="L66" s="35">
        <f>SUM($C66/$L$4)</f>
      </c>
      <c r="M66" s="35">
        <f>SUM($C66/$M$4)</f>
      </c>
      <c r="N66" s="35">
        <f>SUM($C66/$N$4)</f>
      </c>
      <c r="O66" s="1"/>
      <c r="P66" s="1"/>
      <c r="Q66" s="2"/>
      <c r="R66" s="2"/>
      <c r="S66" s="2"/>
      <c r="T66" s="25"/>
      <c r="U66" s="2"/>
      <c r="V66" s="1"/>
      <c r="W66" s="1"/>
      <c r="X66" s="1"/>
      <c r="Y66" s="1"/>
      <c r="Z66" s="1"/>
      <c r="AA66" s="1"/>
      <c r="AB66" s="1"/>
      <c r="AC66" s="1"/>
    </row>
    <row x14ac:dyDescent="0.25" r="67" customHeight="1" ht="18.75">
      <c r="A67" s="1"/>
      <c r="B67" s="59">
        <v>45511</v>
      </c>
      <c r="C67" s="35">
        <v>20.3817</v>
      </c>
      <c r="D67" s="61">
        <f>SUM(C67-C66)/C66</f>
      </c>
      <c r="E67" s="35">
        <f>SUM($C67/$E$4)</f>
      </c>
      <c r="F67" s="35">
        <f>SUM($C67/$F$4)</f>
      </c>
      <c r="G67" s="35"/>
      <c r="H67" s="35">
        <f>SUM($C67/$H$4)</f>
      </c>
      <c r="I67" s="35">
        <f>SUM($C67/$I$4)</f>
      </c>
      <c r="J67" s="35">
        <f>SUM($C67/$J$4)</f>
      </c>
      <c r="K67" s="35">
        <f>SUM($C67/$K$4)</f>
      </c>
      <c r="L67" s="35">
        <f>SUM($C67/$L$4)</f>
      </c>
      <c r="M67" s="35">
        <f>SUM($C67/$M$4)</f>
      </c>
      <c r="N67" s="35">
        <f>SUM($C67/$N$4)</f>
      </c>
      <c r="O67" s="1"/>
      <c r="P67" s="1"/>
      <c r="Q67" s="2"/>
      <c r="R67" s="2"/>
      <c r="S67" s="2"/>
      <c r="T67" s="25"/>
      <c r="U67" s="2"/>
      <c r="V67" s="1"/>
      <c r="W67" s="1"/>
      <c r="X67" s="1"/>
      <c r="Y67" s="1"/>
      <c r="Z67" s="1"/>
      <c r="AA67" s="1"/>
      <c r="AB67" s="1"/>
      <c r="AC67" s="1"/>
    </row>
    <row x14ac:dyDescent="0.25" r="68" customHeight="1" ht="18.75">
      <c r="A68" s="1"/>
      <c r="B68" s="59">
        <v>45541</v>
      </c>
      <c r="C68" s="35">
        <v>19.5917</v>
      </c>
      <c r="D68" s="61">
        <f>SUM(C68-C67)/C67</f>
      </c>
      <c r="E68" s="35">
        <f>SUM($C68/$E$4)</f>
      </c>
      <c r="F68" s="35">
        <f>SUM($C68/$F$4)</f>
      </c>
      <c r="G68" s="35"/>
      <c r="H68" s="35">
        <f>SUM($C68/$H$4)</f>
      </c>
      <c r="I68" s="35">
        <f>SUM($C68/$I$4)</f>
      </c>
      <c r="J68" s="35">
        <f>SUM($C68/$J$4)</f>
      </c>
      <c r="K68" s="35">
        <f>SUM($C68/$K$4)</f>
      </c>
      <c r="L68" s="35">
        <f>SUM($C68/$L$4)</f>
      </c>
      <c r="M68" s="35">
        <f>SUM($C68/$M$4)</f>
      </c>
      <c r="N68" s="35">
        <f>SUM($C68/$N$4)</f>
      </c>
      <c r="O68" s="1"/>
      <c r="P68" s="1"/>
      <c r="Q68" s="2"/>
      <c r="R68" s="2"/>
      <c r="S68" s="2"/>
      <c r="T68" s="25"/>
      <c r="U68" s="2"/>
      <c r="V68" s="1"/>
      <c r="W68" s="1"/>
      <c r="X68" s="1"/>
      <c r="Y68" s="1"/>
      <c r="Z68" s="1"/>
      <c r="AA68" s="1"/>
      <c r="AB68" s="1"/>
      <c r="AC68" s="1"/>
    </row>
    <row x14ac:dyDescent="0.25" r="69" customHeight="1" ht="18.75">
      <c r="A69" s="1"/>
      <c r="B69" s="59">
        <v>45567</v>
      </c>
      <c r="C69" s="35">
        <v>18.4517</v>
      </c>
      <c r="D69" s="61">
        <f>SUM(C69-C68)/C68</f>
      </c>
      <c r="E69" s="35">
        <f>SUM($C69/$E$4)</f>
      </c>
      <c r="F69" s="35">
        <f>SUM($C69/$F$4)</f>
      </c>
      <c r="G69" s="35"/>
      <c r="H69" s="35">
        <f>SUM($C69/$H$4)</f>
      </c>
      <c r="I69" s="35">
        <f>SUM($C69/$I$4)</f>
      </c>
      <c r="J69" s="35">
        <f>SUM($C69/$J$4)</f>
      </c>
      <c r="K69" s="35">
        <f>SUM($C69/$K$4)</f>
      </c>
      <c r="L69" s="35">
        <f>SUM($C69/$L$4)</f>
      </c>
      <c r="M69" s="35">
        <f>SUM($C69/$M$4)</f>
      </c>
      <c r="N69" s="35">
        <f>SUM($C69/$N$4)</f>
      </c>
      <c r="O69" s="1"/>
      <c r="P69" s="1"/>
      <c r="Q69" s="2"/>
      <c r="R69" s="2"/>
      <c r="S69" s="2"/>
      <c r="T69" s="25"/>
      <c r="U69" s="2"/>
      <c r="V69" s="1"/>
      <c r="W69" s="1"/>
      <c r="X69" s="1"/>
      <c r="Y69" s="1"/>
      <c r="Z69" s="1"/>
      <c r="AA69" s="1"/>
      <c r="AB69" s="1"/>
      <c r="AC69" s="1"/>
    </row>
    <row x14ac:dyDescent="0.25" r="70" customHeight="1" ht="18.75">
      <c r="A70" s="1"/>
      <c r="B70" s="59">
        <v>45602</v>
      </c>
      <c r="C70" s="35">
        <v>18.6617</v>
      </c>
      <c r="D70" s="61">
        <f>SUM(C70-C69)/C69</f>
      </c>
      <c r="E70" s="35">
        <f>SUM($C70/$E$4)</f>
      </c>
      <c r="F70" s="35">
        <f>SUM($C70/$F$4)</f>
      </c>
      <c r="G70" s="35"/>
      <c r="H70" s="35">
        <f>SUM($C70/$H$4)</f>
      </c>
      <c r="I70" s="35">
        <f>SUM($C70/$I$4)</f>
      </c>
      <c r="J70" s="35">
        <f>SUM($C70/$J$4)</f>
      </c>
      <c r="K70" s="35">
        <f>SUM($C70/$K$4)</f>
      </c>
      <c r="L70" s="35">
        <f>SUM($C70/$L$4)</f>
      </c>
      <c r="M70" s="35">
        <f>SUM($C70/$M$4)</f>
      </c>
      <c r="N70" s="35">
        <f>SUM($C70/$N$4)</f>
      </c>
      <c r="O70" s="1"/>
      <c r="P70" s="1"/>
      <c r="Q70" s="2"/>
      <c r="R70" s="2"/>
      <c r="S70" s="2"/>
      <c r="T70" s="25"/>
      <c r="U70" s="2"/>
      <c r="V70" s="1"/>
      <c r="W70" s="1"/>
      <c r="X70" s="1"/>
      <c r="Y70" s="1"/>
      <c r="Z70" s="1"/>
      <c r="AA70" s="1"/>
      <c r="AB70" s="1"/>
      <c r="AC70" s="1"/>
    </row>
    <row x14ac:dyDescent="0.25" r="71" customHeight="1" ht="18.75">
      <c r="A71" s="1"/>
      <c r="B71" s="59">
        <v>45630</v>
      </c>
      <c r="C71" s="35">
        <v>19.2105</v>
      </c>
      <c r="D71" s="61">
        <f>SUM(C71-C70)/C70</f>
      </c>
      <c r="E71" s="35">
        <f>SUM($C71/$E$4)</f>
      </c>
      <c r="F71" s="35">
        <f>SUM($C71/$F$4)</f>
      </c>
      <c r="G71" s="35"/>
      <c r="H71" s="35">
        <f>SUM($C71/$H$4)</f>
      </c>
      <c r="I71" s="35">
        <f>SUM($C71/$I$4)</f>
      </c>
      <c r="J71" s="35">
        <f>SUM($C71/$J$4)</f>
      </c>
      <c r="K71" s="35">
        <f>SUM($C71/$K$4)</f>
      </c>
      <c r="L71" s="35">
        <f>SUM($C71/$L$4)</f>
      </c>
      <c r="M71" s="35">
        <f>SUM($C71/$M$4)</f>
      </c>
      <c r="N71" s="35">
        <f>SUM($C71/$N$4)</f>
      </c>
      <c r="O71" s="1"/>
      <c r="P71" s="1"/>
      <c r="Q71" s="2"/>
      <c r="R71" s="2"/>
      <c r="S71" s="2"/>
      <c r="T71" s="25"/>
      <c r="U71" s="2"/>
      <c r="V71" s="1"/>
      <c r="W71" s="1"/>
      <c r="X71" s="1"/>
      <c r="Y71" s="1"/>
      <c r="Z71" s="1"/>
      <c r="AA71" s="1"/>
      <c r="AB71" s="1"/>
      <c r="AC71" s="1"/>
    </row>
    <row x14ac:dyDescent="0.25" r="72" customHeight="1" ht="18.75">
      <c r="A72" s="1"/>
      <c r="B72" s="59">
        <v>45658</v>
      </c>
      <c r="C72" s="35">
        <v>19.2855</v>
      </c>
      <c r="D72" s="61">
        <f>SUM(C72-C71)/C71</f>
      </c>
      <c r="E72" s="35">
        <f>SUM($C72/$E$4)</f>
      </c>
      <c r="F72" s="35">
        <f>SUM($C72/$F$4)</f>
      </c>
      <c r="G72" s="35"/>
      <c r="H72" s="35">
        <f>SUM($C72/$H$4)</f>
      </c>
      <c r="I72" s="35">
        <f>SUM($C72/$I$4)</f>
      </c>
      <c r="J72" s="35">
        <f>SUM($C72/$J$4)</f>
      </c>
      <c r="K72" s="35">
        <f>SUM($C72/$K$4)</f>
      </c>
      <c r="L72" s="35">
        <f>SUM($C72/$L$4)</f>
      </c>
      <c r="M72" s="35">
        <f>SUM($C72/$M$4)</f>
      </c>
      <c r="N72" s="35">
        <f>SUM($C72/$N$4)</f>
      </c>
      <c r="O72" s="1"/>
      <c r="P72" s="1"/>
      <c r="Q72" s="2"/>
      <c r="R72" s="2"/>
      <c r="S72" s="2"/>
      <c r="T72" s="25"/>
      <c r="U72" s="2"/>
      <c r="V72" s="1"/>
      <c r="W72" s="1"/>
      <c r="X72" s="1"/>
      <c r="Y72" s="1"/>
      <c r="Z72" s="1"/>
      <c r="AA72" s="1"/>
      <c r="AB72" s="1"/>
      <c r="AC72" s="1"/>
    </row>
    <row x14ac:dyDescent="0.25" r="73" customHeight="1" ht="18.75">
      <c r="A73" s="1"/>
      <c r="B73" s="59">
        <v>45693</v>
      </c>
      <c r="C73" s="35">
        <v>20.3355</v>
      </c>
      <c r="D73" s="61">
        <f>SUM(C73-C72)/C72</f>
      </c>
      <c r="E73" s="35">
        <f>SUM($C73/$E$4)</f>
      </c>
      <c r="F73" s="35">
        <f>SUM($C73/$F$4)</f>
      </c>
      <c r="G73" s="35"/>
      <c r="H73" s="35">
        <f>SUM($C73/$H$4)</f>
      </c>
      <c r="I73" s="35">
        <f>SUM($C73/$I$4)</f>
      </c>
      <c r="J73" s="35">
        <f>SUM($C73/$J$4)</f>
      </c>
      <c r="K73" s="35">
        <f>SUM($C73/$K$4)</f>
      </c>
      <c r="L73" s="35">
        <f>SUM($C73/$L$4)</f>
      </c>
      <c r="M73" s="35">
        <f>SUM($C73/$M$4)</f>
      </c>
      <c r="N73" s="35">
        <f>SUM($C73/$N$4)</f>
      </c>
      <c r="O73" s="1"/>
      <c r="P73" s="1"/>
      <c r="Q73" s="2"/>
      <c r="R73" s="2"/>
      <c r="S73" s="2"/>
      <c r="T73" s="25"/>
      <c r="U73" s="2"/>
      <c r="V73" s="1"/>
      <c r="W73" s="1"/>
      <c r="X73" s="1"/>
      <c r="Y73" s="1"/>
      <c r="Z73" s="1"/>
      <c r="AA73" s="1"/>
      <c r="AB73" s="1"/>
      <c r="AC73" s="1"/>
    </row>
    <row x14ac:dyDescent="0.25" r="74" customHeight="1" ht="18.75">
      <c r="A74" s="1"/>
      <c r="B74" s="59">
        <v>45722</v>
      </c>
      <c r="C74" s="35">
        <v>20.1605</v>
      </c>
      <c r="D74" s="61">
        <f>SUM(C74-C73)/C73</f>
      </c>
      <c r="E74" s="35">
        <f>SUM($C74/$E$4)</f>
      </c>
      <c r="F74" s="35">
        <f>SUM($C74/$F$4)</f>
      </c>
      <c r="G74" s="35">
        <f>SUM($C74/$G$4)</f>
      </c>
      <c r="H74" s="35">
        <f>SUM($C74/$H$4)</f>
      </c>
      <c r="I74" s="35">
        <f>SUM($C74/$I$4)</f>
      </c>
      <c r="J74" s="35">
        <f>SUM($C74/$J$4)</f>
      </c>
      <c r="K74" s="35">
        <f>SUM($C74/$K$4)</f>
      </c>
      <c r="L74" s="35">
        <f>SUM($C74/$L$4)</f>
      </c>
      <c r="M74" s="35">
        <f>SUM($C74/$M$4)</f>
      </c>
      <c r="N74" s="35">
        <f>SUM($C74/$N$4)</f>
      </c>
      <c r="O74" s="1"/>
      <c r="P74" s="1"/>
      <c r="Q74" s="2"/>
      <c r="R74" s="2"/>
      <c r="S74" s="2"/>
      <c r="T74" s="25"/>
      <c r="U74" s="2"/>
      <c r="V74" s="1"/>
      <c r="W74" s="1"/>
      <c r="X74" s="1"/>
      <c r="Y74" s="1"/>
      <c r="Z74" s="1"/>
      <c r="AA74" s="1"/>
      <c r="AB74" s="1"/>
      <c r="AC74" s="1"/>
    </row>
    <row x14ac:dyDescent="0.25" r="75" customHeight="1" ht="18.75">
      <c r="A75" s="1"/>
      <c r="B75" s="59">
        <v>45753</v>
      </c>
      <c r="C75" s="35">
        <v>19.3225</v>
      </c>
      <c r="D75" s="61">
        <f>SUM(C75-C74)/C74</f>
      </c>
      <c r="E75" s="35">
        <f>SUM($C75/$E$4)</f>
      </c>
      <c r="F75" s="35">
        <f>SUM($C75/$F$4)</f>
      </c>
      <c r="G75" s="35">
        <f>SUM($C75/$G$4)</f>
      </c>
      <c r="H75" s="35">
        <f>SUM($C75/$H$4)</f>
      </c>
      <c r="I75" s="35">
        <f>SUM($C75/$I$4)</f>
      </c>
      <c r="J75" s="35">
        <f>SUM($C75/$J$4)</f>
      </c>
      <c r="K75" s="35">
        <f>SUM($C75/$K$4)</f>
      </c>
      <c r="L75" s="35">
        <f>SUM($C75/$L$4)</f>
      </c>
      <c r="M75" s="35">
        <f>SUM($C75/$M$4)</f>
      </c>
      <c r="N75" s="35">
        <f>SUM($C75/$N$4)</f>
      </c>
      <c r="O75" s="1"/>
      <c r="P75" s="1"/>
      <c r="Q75" s="2"/>
      <c r="R75" s="2"/>
      <c r="S75" s="2"/>
      <c r="T75" s="25"/>
      <c r="U75" s="2"/>
      <c r="V75" s="1"/>
      <c r="W75" s="1"/>
      <c r="X75" s="1"/>
      <c r="Y75" s="1"/>
      <c r="Z75" s="1"/>
      <c r="AA75" s="1"/>
      <c r="AB75" s="1"/>
      <c r="AC75" s="1"/>
    </row>
    <row x14ac:dyDescent="0.25" r="76" customHeight="1" ht="18.75">
      <c r="A76" s="1"/>
      <c r="B76" s="59">
        <v>45784</v>
      </c>
      <c r="C76" s="35">
        <v>18.9025</v>
      </c>
      <c r="D76" s="61">
        <f>SUM(C76-C75)/C75</f>
      </c>
      <c r="E76" s="35">
        <f>SUM($C76/$E$4)</f>
      </c>
      <c r="F76" s="35">
        <f>SUM($C76/$F$4)</f>
      </c>
      <c r="G76" s="35">
        <f>SUM($C76/$G$4)</f>
      </c>
      <c r="H76" s="35">
        <f>SUM($C76/$H$4)</f>
      </c>
      <c r="I76" s="35">
        <f>SUM($C76/$I$4)</f>
      </c>
      <c r="J76" s="35">
        <f>SUM($C76/$J$4)</f>
      </c>
      <c r="K76" s="35">
        <f>SUM($C76/$K$4)</f>
      </c>
      <c r="L76" s="35">
        <f>SUM($C76/$L$4)</f>
      </c>
      <c r="M76" s="35">
        <f>SUM($C76/$M$4)</f>
      </c>
      <c r="N76" s="35">
        <f>SUM($C76/$N$4)</f>
      </c>
      <c r="O76" s="1"/>
      <c r="P76" s="1"/>
      <c r="Q76" s="2"/>
      <c r="R76" s="2"/>
      <c r="S76" s="2"/>
      <c r="T76" s="25"/>
      <c r="U76" s="2"/>
      <c r="V76" s="1"/>
      <c r="W76" s="1"/>
      <c r="X76" s="1"/>
      <c r="Y76" s="1"/>
      <c r="Z76" s="1"/>
      <c r="AA76" s="1"/>
      <c r="AB76" s="1"/>
      <c r="AC76" s="1"/>
    </row>
    <row x14ac:dyDescent="0.25" r="77" customHeight="1" ht="18.75">
      <c r="A77" s="1"/>
      <c r="B77" s="59">
        <v>45812</v>
      </c>
      <c r="C77" s="35">
        <v>18.5335</v>
      </c>
      <c r="D77" s="61">
        <f>SUM(C77-C76)/C76</f>
      </c>
      <c r="E77" s="35">
        <f>SUM($C77/$E$4)</f>
      </c>
      <c r="F77" s="35">
        <f>SUM($C77/$F$4)</f>
      </c>
      <c r="G77" s="35">
        <f>SUM($C77/$G$4)</f>
      </c>
      <c r="H77" s="35">
        <f>SUM($C77/$H$4)</f>
      </c>
      <c r="I77" s="35">
        <f>SUM($C77/$I$4)</f>
      </c>
      <c r="J77" s="35">
        <f>SUM($C77/$J$4)</f>
      </c>
      <c r="K77" s="35">
        <f>SUM($C77/$K$4)</f>
      </c>
      <c r="L77" s="35">
        <f>SUM($C77/$L$4)</f>
      </c>
      <c r="M77" s="35">
        <f>SUM($C77/$M$4)</f>
      </c>
      <c r="N77" s="35">
        <f>SUM($C77/$N$4)</f>
      </c>
      <c r="O77" s="1"/>
      <c r="P77" s="1"/>
      <c r="Q77" s="2"/>
      <c r="R77" s="2"/>
      <c r="S77" s="2"/>
      <c r="T77" s="25"/>
      <c r="U77" s="2"/>
      <c r="V77" s="1"/>
      <c r="W77" s="1"/>
      <c r="X77" s="1"/>
      <c r="Y77" s="1"/>
      <c r="Z77" s="1"/>
      <c r="AA77" s="1"/>
      <c r="AB77" s="1"/>
      <c r="AC77" s="1"/>
    </row>
    <row x14ac:dyDescent="0.25" r="78" customHeight="1" ht="18.75">
      <c r="A78" s="1"/>
      <c r="B78" s="59">
        <v>45845</v>
      </c>
      <c r="C78" s="35">
        <v>19.3535</v>
      </c>
      <c r="D78" s="61">
        <f>SUM(C78-C77)/C77</f>
      </c>
      <c r="E78" s="35">
        <f>SUM($C78/$E$4)</f>
      </c>
      <c r="F78" s="35">
        <f>SUM($C78/$F$4)</f>
      </c>
      <c r="G78" s="35">
        <f>SUM($C78/$G$4)</f>
      </c>
      <c r="H78" s="35">
        <f>SUM($C78/$H$4)</f>
      </c>
      <c r="I78" s="35">
        <f>SUM($C78/$I$4)</f>
      </c>
      <c r="J78" s="35">
        <f>SUM($C78/$J$4)</f>
      </c>
      <c r="K78" s="35">
        <f>SUM($C78/$K$4)</f>
      </c>
      <c r="L78" s="35">
        <f>SUM($C78/$L$4)</f>
      </c>
      <c r="M78" s="35">
        <f>SUM($C78/$M$4)</f>
      </c>
      <c r="N78" s="35">
        <f>SUM($C78/$N$4)</f>
      </c>
      <c r="O78" s="1"/>
      <c r="P78" s="1"/>
      <c r="Q78" s="2"/>
      <c r="R78" s="2"/>
      <c r="S78" s="2"/>
      <c r="T78" s="25"/>
      <c r="U78" s="2"/>
      <c r="V78" s="1"/>
      <c r="W78" s="1"/>
      <c r="X78" s="1"/>
      <c r="Y78" s="1"/>
      <c r="Z78" s="1"/>
      <c r="AA78" s="1"/>
      <c r="AB78" s="1"/>
      <c r="AC78" s="1"/>
    </row>
    <row x14ac:dyDescent="0.25" r="79" customHeight="1" ht="18.75">
      <c r="A79" s="1"/>
      <c r="B79" s="59">
        <v>45875</v>
      </c>
      <c r="C79" s="35">
        <v>20.0035</v>
      </c>
      <c r="D79" s="61">
        <f>SUM(C79-C78)/C78</f>
      </c>
      <c r="E79" s="35">
        <f>SUM($C79/$E$4)</f>
      </c>
      <c r="F79" s="35">
        <f>SUM($C79/$F$4)</f>
      </c>
      <c r="G79" s="35">
        <f>SUM($C79/$G$4)</f>
      </c>
      <c r="H79" s="35">
        <f>SUM($C79/$H$4)</f>
      </c>
      <c r="I79" s="35">
        <f>SUM($C79/$I$4)</f>
      </c>
      <c r="J79" s="35">
        <f>SUM($C79/$J$4)</f>
      </c>
      <c r="K79" s="35">
        <f>SUM($C79/$K$4)</f>
      </c>
      <c r="L79" s="35">
        <f>SUM($C79/$L$4)</f>
      </c>
      <c r="M79" s="35">
        <f>SUM($C79/$M$4)</f>
      </c>
      <c r="N79" s="35">
        <f>SUM($C79/$N$4)</f>
      </c>
      <c r="O79" s="1"/>
      <c r="P79" s="1"/>
      <c r="Q79" s="2"/>
      <c r="R79" s="2"/>
      <c r="S79" s="2"/>
      <c r="T79" s="25"/>
      <c r="U79" s="2"/>
      <c r="V79" s="1"/>
      <c r="W79" s="1"/>
      <c r="X79" s="1"/>
      <c r="Y79" s="1"/>
      <c r="Z79" s="1"/>
      <c r="AA79" s="1"/>
      <c r="AB79" s="1"/>
      <c r="AC79" s="1"/>
    </row>
    <row x14ac:dyDescent="0.25" r="80" customHeight="1" ht="18.75">
      <c r="A80" s="1"/>
      <c r="B80" s="59">
        <v>45903</v>
      </c>
      <c r="C80" s="35">
        <v>19.4435</v>
      </c>
      <c r="D80" s="61">
        <f>SUM(C80-C79)/C79</f>
      </c>
      <c r="E80" s="35">
        <f>SUM($C80/$E$4)</f>
      </c>
      <c r="F80" s="35">
        <f>SUM($C80/$F$4)</f>
      </c>
      <c r="G80" s="35">
        <f>SUM($C80/$G$4)</f>
      </c>
      <c r="H80" s="35">
        <f>SUM($C80/$H$4)</f>
      </c>
      <c r="I80" s="35">
        <f>SUM($C80/$I$4)</f>
      </c>
      <c r="J80" s="35">
        <f>SUM($C80/$J$4)</f>
      </c>
      <c r="K80" s="35">
        <f>SUM($C80/$K$4)</f>
      </c>
      <c r="L80" s="35">
        <f>SUM($C80/$L$4)</f>
      </c>
      <c r="M80" s="35">
        <f>SUM($C80/$M$4)</f>
      </c>
      <c r="N80" s="35">
        <f>SUM($C80/$N$4)</f>
      </c>
      <c r="O80" s="1"/>
      <c r="P80" s="1"/>
      <c r="Q80" s="2"/>
      <c r="R80" s="2"/>
      <c r="S80" s="2"/>
      <c r="T80" s="25"/>
      <c r="U80" s="2"/>
      <c r="V80" s="1"/>
      <c r="W80" s="1"/>
      <c r="X80" s="1"/>
      <c r="Y80" s="1"/>
      <c r="Z80" s="1"/>
      <c r="AA80" s="1"/>
      <c r="AB80" s="1"/>
      <c r="AC80" s="1"/>
    </row>
    <row x14ac:dyDescent="0.25" r="81" customHeight="1" ht="18.75">
      <c r="A81" s="1"/>
      <c r="B81" s="59">
        <v>45931</v>
      </c>
      <c r="C81" s="35">
        <v>19.3435</v>
      </c>
      <c r="D81" s="61">
        <f>SUM(C81-C80)/C80</f>
      </c>
      <c r="E81" s="35">
        <f>SUM($C81/$E$4)</f>
      </c>
      <c r="F81" s="35">
        <f>SUM($C81/$F$4)</f>
      </c>
      <c r="G81" s="35">
        <f>SUM($C81/$G$4)</f>
      </c>
      <c r="H81" s="35">
        <f>SUM($C81/$H$4)</f>
      </c>
      <c r="I81" s="35">
        <f>SUM($C81/$I$4)</f>
      </c>
      <c r="J81" s="35">
        <f>SUM($C81/$J$4)</f>
      </c>
      <c r="K81" s="35">
        <f>SUM($C81/$K$4)</f>
      </c>
      <c r="L81" s="35">
        <f>SUM($C81/$L$4)</f>
      </c>
      <c r="M81" s="35">
        <f>SUM($C81/$M$4)</f>
      </c>
      <c r="N81" s="35">
        <f>SUM($C81/$N$4)</f>
      </c>
      <c r="O81" s="1"/>
      <c r="P81" s="1"/>
      <c r="Q81" s="2"/>
      <c r="R81" s="2"/>
      <c r="S81" s="2"/>
      <c r="T81" s="25"/>
      <c r="U81" s="2"/>
      <c r="V81" s="1"/>
      <c r="W81" s="1"/>
      <c r="X81" s="1"/>
      <c r="Y81" s="1"/>
      <c r="Z81" s="1"/>
      <c r="AA81" s="1"/>
      <c r="AB81" s="1"/>
      <c r="AC81" s="1"/>
    </row>
    <row x14ac:dyDescent="0.25" r="82" customHeight="1" ht="18.75">
      <c r="A82" s="1"/>
      <c r="B82" s="59">
        <v>45967</v>
      </c>
      <c r="C82" s="71"/>
      <c r="D82" s="61">
        <f>SUM(C82-C81)/C81</f>
      </c>
      <c r="E82" s="35">
        <f>SUM($C82/$E$4)</f>
      </c>
      <c r="F82" s="35">
        <f>SUM($C82/$F$4)</f>
      </c>
      <c r="G82" s="35">
        <f>SUM($C82/$G$4)</f>
      </c>
      <c r="H82" s="35">
        <f>SUM($C82/$H$4)</f>
      </c>
      <c r="I82" s="35">
        <f>SUM($C82/$I$4)</f>
      </c>
      <c r="J82" s="35">
        <f>SUM($C82/$J$4)</f>
      </c>
      <c r="K82" s="35">
        <f>SUM($C82/$K$4)</f>
      </c>
      <c r="L82" s="35">
        <f>SUM($C82/$L$4)</f>
      </c>
      <c r="M82" s="35">
        <f>SUM($C82/$M$4)</f>
      </c>
      <c r="N82" s="35">
        <f>SUM($C82/$N$4)</f>
      </c>
      <c r="O82" s="1"/>
      <c r="P82" s="1"/>
      <c r="Q82" s="2"/>
      <c r="R82" s="2"/>
      <c r="S82" s="2"/>
      <c r="T82" s="25"/>
      <c r="U82" s="2"/>
      <c r="V82" s="1"/>
      <c r="W82" s="1"/>
      <c r="X82" s="1"/>
      <c r="Y82" s="1"/>
      <c r="Z82" s="1"/>
      <c r="AA82" s="1"/>
      <c r="AB82" s="1"/>
      <c r="AC82" s="1"/>
    </row>
    <row x14ac:dyDescent="0.25" r="83" customHeight="1" ht="18.75">
      <c r="A83" s="1"/>
      <c r="B83" s="59">
        <v>45997</v>
      </c>
      <c r="C83" s="71"/>
      <c r="D83" s="61">
        <f>SUM(C83-C82)/C82</f>
      </c>
      <c r="E83" s="35">
        <f>SUM($C83/$E$4)</f>
      </c>
      <c r="F83" s="35">
        <f>SUM($C83/$F$4)</f>
      </c>
      <c r="G83" s="35">
        <f>SUM($C83/$G$4)</f>
      </c>
      <c r="H83" s="35">
        <f>SUM($C83/$H$4)</f>
      </c>
      <c r="I83" s="35">
        <f>SUM($C83/$I$4)</f>
      </c>
      <c r="J83" s="35">
        <f>SUM($C83/$J$4)</f>
      </c>
      <c r="K83" s="35">
        <f>SUM($C83/$K$4)</f>
      </c>
      <c r="L83" s="35">
        <f>SUM($C83/$L$4)</f>
      </c>
      <c r="M83" s="35">
        <f>SUM($C83/$M$4)</f>
      </c>
      <c r="N83" s="35">
        <f>SUM($C83/$N$4)</f>
      </c>
      <c r="O83" s="1"/>
      <c r="P83" s="1"/>
      <c r="Q83" s="2"/>
      <c r="R83" s="2"/>
      <c r="S83" s="2"/>
      <c r="T83" s="25"/>
      <c r="U83" s="2"/>
      <c r="V83" s="1"/>
      <c r="W83" s="1"/>
      <c r="X83" s="1"/>
      <c r="Y83" s="1"/>
      <c r="Z83" s="1"/>
      <c r="AA83" s="1"/>
      <c r="AB83" s="1"/>
      <c r="AC83" s="1"/>
    </row>
    <row x14ac:dyDescent="0.25" r="84" customHeight="1" ht="18.75">
      <c r="A84" s="1"/>
      <c r="B84" s="59">
        <v>46028</v>
      </c>
      <c r="C84" s="71"/>
      <c r="D84" s="61">
        <f>SUM(C84-C83)/C83</f>
      </c>
      <c r="E84" s="35">
        <f>SUM($C84/$E$4)</f>
      </c>
      <c r="F84" s="35">
        <f>SUM($C84/$F$4)</f>
      </c>
      <c r="G84" s="35">
        <f>SUM($C84/$G$4)</f>
      </c>
      <c r="H84" s="35">
        <f>SUM($C84/$H$4)</f>
      </c>
      <c r="I84" s="35">
        <f>SUM($C84/$I$4)</f>
      </c>
      <c r="J84" s="35">
        <f>SUM($C84/$J$4)</f>
      </c>
      <c r="K84" s="35">
        <f>SUM($C84/$K$4)</f>
      </c>
      <c r="L84" s="35">
        <f>SUM($C84/$L$4)</f>
      </c>
      <c r="M84" s="35">
        <f>SUM($C84/$M$4)</f>
      </c>
      <c r="N84" s="35">
        <f>SUM($C84/$N$4)</f>
      </c>
      <c r="O84" s="1"/>
      <c r="P84" s="1"/>
      <c r="Q84" s="2"/>
      <c r="R84" s="2"/>
      <c r="S84" s="2"/>
      <c r="T84" s="25"/>
      <c r="U84" s="2"/>
      <c r="V84" s="1"/>
      <c r="W84" s="1"/>
      <c r="X84" s="1"/>
      <c r="Y84" s="1"/>
      <c r="Z84" s="1"/>
      <c r="AA84" s="1"/>
      <c r="AB84" s="1"/>
      <c r="AC84" s="1"/>
    </row>
    <row x14ac:dyDescent="0.25" r="85" customHeight="1" ht="18.75">
      <c r="A85" s="1"/>
      <c r="B85" s="59">
        <v>46059</v>
      </c>
      <c r="C85" s="71"/>
      <c r="D85" s="61">
        <f>SUM(C85-C84)/C84</f>
      </c>
      <c r="E85" s="35">
        <f>SUM($C85/$E$4)</f>
      </c>
      <c r="F85" s="35">
        <f>SUM($C85/$F$4)</f>
      </c>
      <c r="G85" s="35">
        <f>SUM($C85/$G$4)</f>
      </c>
      <c r="H85" s="35">
        <f>SUM($C85/$H$4)</f>
      </c>
      <c r="I85" s="35">
        <f>SUM($C85/$I$4)</f>
      </c>
      <c r="J85" s="35">
        <f>SUM($C85/$J$4)</f>
      </c>
      <c r="K85" s="35">
        <f>SUM($C85/$K$4)</f>
      </c>
      <c r="L85" s="35">
        <f>SUM($C85/$L$4)</f>
      </c>
      <c r="M85" s="35">
        <f>SUM($C85/$M$4)</f>
      </c>
      <c r="N85" s="35">
        <f>SUM($C85/$N$4)</f>
      </c>
      <c r="O85" s="1"/>
      <c r="P85" s="1"/>
      <c r="Q85" s="2"/>
      <c r="R85" s="2"/>
      <c r="S85" s="2"/>
      <c r="T85" s="25"/>
      <c r="U85" s="2"/>
      <c r="V85" s="1"/>
      <c r="W85" s="1"/>
      <c r="X85" s="1"/>
      <c r="Y85" s="1"/>
      <c r="Z85" s="1"/>
      <c r="AA85" s="1"/>
      <c r="AB85" s="1"/>
      <c r="AC85" s="1"/>
    </row>
    <row x14ac:dyDescent="0.25" r="86" customHeight="1" ht="18.75">
      <c r="A86" s="1"/>
      <c r="B86" s="59">
        <v>46087</v>
      </c>
      <c r="C86" s="71"/>
      <c r="D86" s="61">
        <f>SUM(C86-C85)/C85</f>
      </c>
      <c r="E86" s="35">
        <f>SUM($C86/$E$4)</f>
      </c>
      <c r="F86" s="35">
        <f>SUM($C86/$F$4)</f>
      </c>
      <c r="G86" s="35">
        <f>SUM($C86/$G$4)</f>
      </c>
      <c r="H86" s="35">
        <f>SUM($C86/$H$4)</f>
      </c>
      <c r="I86" s="35">
        <f>SUM($C86/$I$4)</f>
      </c>
      <c r="J86" s="35">
        <f>SUM($C86/$J$4)</f>
      </c>
      <c r="K86" s="35">
        <f>SUM($C86/$K$4)</f>
      </c>
      <c r="L86" s="35">
        <f>SUM($C86/$L$4)</f>
      </c>
      <c r="M86" s="35">
        <f>SUM($C86/$M$4)</f>
      </c>
      <c r="N86" s="35">
        <f>SUM($C86/$N$4)</f>
      </c>
      <c r="O86" s="1"/>
      <c r="P86" s="1"/>
      <c r="Q86" s="2"/>
      <c r="R86" s="2"/>
      <c r="S86" s="2"/>
      <c r="T86" s="25"/>
      <c r="U86" s="2"/>
      <c r="V86" s="1"/>
      <c r="W86" s="1"/>
      <c r="X86" s="1"/>
      <c r="Y86" s="1"/>
      <c r="Z86" s="1"/>
      <c r="AA86" s="1"/>
      <c r="AB86" s="1"/>
      <c r="AC86" s="1"/>
    </row>
    <row x14ac:dyDescent="0.25" r="87" customHeight="1" ht="18.75">
      <c r="A87" s="1"/>
      <c r="B87" s="59">
        <v>46118</v>
      </c>
      <c r="C87" s="71"/>
      <c r="D87" s="61">
        <f>SUM(C87-C86)/C86</f>
      </c>
      <c r="E87" s="35">
        <f>SUM($C87/$E$4)</f>
      </c>
      <c r="F87" s="35">
        <f>SUM($C87/$F$4)</f>
      </c>
      <c r="G87" s="35">
        <f>SUM($C87/$G$4)</f>
      </c>
      <c r="H87" s="35">
        <f>SUM($C87/$H$4)</f>
      </c>
      <c r="I87" s="35">
        <f>SUM($C87/$I$4)</f>
      </c>
      <c r="J87" s="35">
        <f>SUM($C87/$J$4)</f>
      </c>
      <c r="K87" s="35">
        <f>SUM($C87/$K$4)</f>
      </c>
      <c r="L87" s="35">
        <f>SUM($C87/$L$4)</f>
      </c>
      <c r="M87" s="35">
        <f>SUM($C87/$M$4)</f>
      </c>
      <c r="N87" s="35">
        <f>SUM($C87/$N$4)</f>
      </c>
      <c r="O87" s="1"/>
      <c r="P87" s="1"/>
      <c r="Q87" s="2"/>
      <c r="R87" s="2"/>
      <c r="S87" s="2"/>
      <c r="T87" s="25"/>
      <c r="U87" s="2"/>
      <c r="V87" s="1"/>
      <c r="W87" s="1"/>
      <c r="X87" s="1"/>
      <c r="Y87" s="1"/>
      <c r="Z87" s="1"/>
      <c r="AA87" s="1"/>
      <c r="AB87" s="1"/>
      <c r="AC87" s="1"/>
    </row>
  </sheetData>
  <mergeCells count="4">
    <mergeCell ref="B2:D2"/>
    <mergeCell ref="R4:U4"/>
    <mergeCell ref="V4:Y4"/>
    <mergeCell ref="Z4:A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6"/>
  <sheetViews>
    <sheetView workbookViewId="0"/>
  </sheetViews>
  <sheetFormatPr defaultRowHeight="15" x14ac:dyDescent="0.25"/>
  <cols>
    <col min="1" max="1" style="19" width="14.005" customWidth="1" bestFit="1"/>
    <col min="2" max="2" style="20" width="8.43357142857143" customWidth="1" bestFit="1"/>
    <col min="3" max="3" style="21" width="12.719285714285713" customWidth="1" bestFit="1"/>
    <col min="4" max="4" style="22" width="16.005" customWidth="1" bestFit="1"/>
    <col min="5" max="5" style="21" width="11.290714285714287" customWidth="1" bestFit="1"/>
  </cols>
  <sheetData>
    <row x14ac:dyDescent="0.25" r="1" customHeight="1" ht="18.75">
      <c r="A1" s="1"/>
      <c r="B1" s="2"/>
      <c r="C1" s="3"/>
      <c r="D1" s="4"/>
      <c r="E1" s="3"/>
    </row>
    <row x14ac:dyDescent="0.25" r="2" customHeight="1" ht="18.75">
      <c r="A2" s="5" t="s">
        <v>0</v>
      </c>
      <c r="B2" s="6"/>
      <c r="C2" s="7"/>
      <c r="D2" s="7"/>
      <c r="E2" s="3"/>
    </row>
    <row x14ac:dyDescent="0.25" r="3" customHeight="1" ht="18.75">
      <c r="A3" s="8" t="s">
        <v>1</v>
      </c>
      <c r="B3" s="2"/>
      <c r="C3" s="3"/>
      <c r="D3" s="9">
        <v>3105000</v>
      </c>
      <c r="E3" s="3"/>
    </row>
    <row x14ac:dyDescent="0.25" r="4" customHeight="1" ht="18.75">
      <c r="A4" s="1"/>
      <c r="B4" s="2"/>
      <c r="C4" s="3"/>
      <c r="D4" s="4"/>
      <c r="E4" s="3"/>
    </row>
    <row x14ac:dyDescent="0.25" r="5" customHeight="1" ht="18.75">
      <c r="A5" s="1"/>
      <c r="B5" s="10" t="s">
        <v>2</v>
      </c>
      <c r="C5" s="11" t="s">
        <v>3</v>
      </c>
      <c r="D5" s="11" t="s">
        <v>4</v>
      </c>
      <c r="E5" s="11" t="s">
        <v>5</v>
      </c>
    </row>
    <row x14ac:dyDescent="0.25" r="6" customHeight="1" ht="18.75">
      <c r="A6" s="1" t="s">
        <v>6</v>
      </c>
      <c r="B6" s="12">
        <v>60</v>
      </c>
      <c r="C6" s="13">
        <v>28000</v>
      </c>
      <c r="D6" s="13">
        <f>SUM(C6*B6)</f>
      </c>
      <c r="E6" s="13">
        <f>SUM(C6/25)</f>
      </c>
    </row>
    <row x14ac:dyDescent="0.25" r="7" customHeight="1" ht="18.75">
      <c r="A7" s="1" t="s">
        <v>7</v>
      </c>
      <c r="B7" s="12">
        <v>18</v>
      </c>
      <c r="C7" s="13">
        <v>22000</v>
      </c>
      <c r="D7" s="13">
        <f>SUM(C7*B7)</f>
      </c>
      <c r="E7" s="13">
        <f>SUM(C7/25)</f>
      </c>
    </row>
    <row x14ac:dyDescent="0.25" r="8" customHeight="1" ht="18.75">
      <c r="A8" s="1" t="s">
        <v>8</v>
      </c>
      <c r="B8" s="12">
        <v>2</v>
      </c>
      <c r="C8" s="13">
        <v>18288</v>
      </c>
      <c r="D8" s="13">
        <f>SUM(C8*B8)</f>
      </c>
      <c r="E8" s="13">
        <f>SUM(C8/25)</f>
      </c>
    </row>
    <row x14ac:dyDescent="0.25" r="9" customHeight="1" ht="18.75">
      <c r="A9" s="1" t="s">
        <v>9</v>
      </c>
      <c r="B9" s="12">
        <v>10</v>
      </c>
      <c r="C9" s="13">
        <v>16000</v>
      </c>
      <c r="D9" s="13">
        <f>SUM(C9*B9)</f>
      </c>
      <c r="E9" s="13">
        <f>SUM(C9/25)</f>
      </c>
    </row>
    <row x14ac:dyDescent="0.25" r="10" customHeight="1" ht="18.75">
      <c r="A10" s="1" t="s">
        <v>10</v>
      </c>
      <c r="B10" s="12">
        <v>17</v>
      </c>
      <c r="C10" s="13">
        <v>13620</v>
      </c>
      <c r="D10" s="13">
        <f>SUM(C10*B10)</f>
      </c>
      <c r="E10" s="13">
        <f>SUM(C10/25)</f>
      </c>
    </row>
    <row x14ac:dyDescent="0.25" r="11" customHeight="1" ht="18.75">
      <c r="A11" s="1" t="s">
        <v>11</v>
      </c>
      <c r="B11" s="12">
        <f>SUM(1+1+1+1+1+4)</f>
      </c>
      <c r="C11" s="13">
        <v>2500</v>
      </c>
      <c r="D11" s="13">
        <f>SUM(C11*B11)</f>
      </c>
      <c r="E11" s="13">
        <f>SUM(C11/25)</f>
      </c>
    </row>
    <row x14ac:dyDescent="0.25" r="12" customHeight="1" ht="18.75">
      <c r="A12" s="1"/>
      <c r="B12" s="14">
        <f>SUM(B6:B11)</f>
      </c>
      <c r="C12" s="3"/>
      <c r="D12" s="9">
        <f>SUM(D6:D11)</f>
      </c>
      <c r="E12" s="3"/>
    </row>
    <row x14ac:dyDescent="0.25" r="13" customHeight="1" ht="18.75">
      <c r="A13" s="15" t="s">
        <v>12</v>
      </c>
      <c r="B13" s="16"/>
      <c r="C13" s="17"/>
      <c r="D13" s="18">
        <f>SUM(D3-D12)</f>
      </c>
      <c r="E13" s="3"/>
    </row>
    <row x14ac:dyDescent="0.25" r="14" customHeight="1" ht="18.75">
      <c r="A14" s="1"/>
      <c r="B14" s="2"/>
      <c r="C14" s="3"/>
      <c r="D14" s="4"/>
      <c r="E14" s="3"/>
    </row>
    <row x14ac:dyDescent="0.25" r="15" customHeight="1" ht="18.75">
      <c r="A15" s="5" t="s">
        <v>13</v>
      </c>
      <c r="B15" s="6"/>
      <c r="C15" s="7"/>
      <c r="D15" s="7"/>
      <c r="E15" s="3"/>
    </row>
    <row x14ac:dyDescent="0.25" r="16" customHeight="1" ht="18.75">
      <c r="A16" s="8" t="s">
        <v>1</v>
      </c>
      <c r="B16" s="2"/>
      <c r="C16" s="3"/>
      <c r="D16" s="9">
        <f>D3</f>
      </c>
      <c r="E16" s="3"/>
    </row>
    <row x14ac:dyDescent="0.25" r="17" customHeight="1" ht="18.75">
      <c r="A17" s="1"/>
      <c r="B17" s="2"/>
      <c r="C17" s="3"/>
      <c r="D17" s="4"/>
      <c r="E17" s="3"/>
    </row>
    <row x14ac:dyDescent="0.25" r="18" customHeight="1" ht="18.75">
      <c r="A18" s="1"/>
      <c r="B18" s="10" t="s">
        <v>2</v>
      </c>
      <c r="C18" s="11" t="s">
        <v>3</v>
      </c>
      <c r="D18" s="11" t="s">
        <v>4</v>
      </c>
      <c r="E18" s="11" t="s">
        <v>5</v>
      </c>
    </row>
    <row x14ac:dyDescent="0.25" r="19" customHeight="1" ht="18.75">
      <c r="A19" s="1" t="s">
        <v>6</v>
      </c>
      <c r="B19" s="12">
        <v>60</v>
      </c>
      <c r="C19" s="13">
        <v>34000</v>
      </c>
      <c r="D19" s="13">
        <f>SUM(C19*B19)</f>
      </c>
      <c r="E19" s="13">
        <f>SUM(C19/25)</f>
      </c>
    </row>
    <row x14ac:dyDescent="0.25" r="20" customHeight="1" ht="18.75">
      <c r="A20" s="1" t="s">
        <v>7</v>
      </c>
      <c r="B20" s="12">
        <v>18</v>
      </c>
      <c r="C20" s="13">
        <v>28000</v>
      </c>
      <c r="D20" s="13">
        <f>SUM(C20*B20)</f>
      </c>
      <c r="E20" s="13">
        <f>SUM(C20/25)</f>
      </c>
    </row>
    <row x14ac:dyDescent="0.25" r="21" customHeight="1" ht="18.75">
      <c r="A21" s="1" t="s">
        <v>8</v>
      </c>
      <c r="B21" s="12">
        <v>2</v>
      </c>
      <c r="C21" s="13">
        <v>20000</v>
      </c>
      <c r="D21" s="13">
        <f>SUM(C21*B21)</f>
      </c>
      <c r="E21" s="13">
        <f>SUM(C21/25)</f>
      </c>
    </row>
    <row x14ac:dyDescent="0.25" r="22" customHeight="1" ht="18.75">
      <c r="A22" s="1" t="s">
        <v>9</v>
      </c>
      <c r="B22" s="12">
        <v>10</v>
      </c>
      <c r="C22" s="13">
        <v>22000</v>
      </c>
      <c r="D22" s="13">
        <f>SUM(C22*B22)</f>
      </c>
      <c r="E22" s="13">
        <f>SUM(C22/25)</f>
      </c>
    </row>
    <row x14ac:dyDescent="0.25" r="23" customHeight="1" ht="18.75">
      <c r="A23" s="1" t="s">
        <v>10</v>
      </c>
      <c r="B23" s="12">
        <v>17</v>
      </c>
      <c r="C23" s="13">
        <v>16000</v>
      </c>
      <c r="D23" s="13">
        <f>SUM(C23*B23)</f>
      </c>
      <c r="E23" s="13">
        <f>SUM(C23/25)</f>
      </c>
    </row>
    <row x14ac:dyDescent="0.25" r="24" customHeight="1" ht="18.75">
      <c r="A24" s="1" t="s">
        <v>11</v>
      </c>
      <c r="B24" s="12">
        <f>SUM(1+1+1+1+1+4)</f>
      </c>
      <c r="C24" s="13">
        <v>2500</v>
      </c>
      <c r="D24" s="13">
        <f>SUM(C24*B24)</f>
      </c>
      <c r="E24" s="13">
        <f>SUM(C24/25)</f>
      </c>
    </row>
    <row x14ac:dyDescent="0.25" r="25" customHeight="1" ht="18.75">
      <c r="A25" s="1"/>
      <c r="B25" s="14">
        <f>SUM(B19:B24)</f>
      </c>
      <c r="C25" s="3"/>
      <c r="D25" s="9">
        <f>SUM(D19:D24)</f>
      </c>
      <c r="E25" s="3"/>
    </row>
    <row x14ac:dyDescent="0.25" r="26" customHeight="1" ht="18.75">
      <c r="A26" s="15" t="s">
        <v>12</v>
      </c>
      <c r="B26" s="16"/>
      <c r="C26" s="17"/>
      <c r="D26" s="18">
        <f>SUM(D16-D25)</f>
      </c>
      <c r="E26" s="3"/>
    </row>
  </sheetData>
  <mergeCells count="2">
    <mergeCell ref="A2:D2"/>
    <mergeCell ref="A15:D1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COSTING</vt:lpstr>
      <vt:lpstr>FUEL TABLE</vt:lpstr>
      <vt:lpstr>P&amp;amp;L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2025-10-26T01:22:49.827Z</dcterms:created>
  <dcterms:modified xsi:type="dcterms:W3CDTF">2025-10-26T01:22:49.827Z</dcterms:modified>
</cp:coreProperties>
</file>