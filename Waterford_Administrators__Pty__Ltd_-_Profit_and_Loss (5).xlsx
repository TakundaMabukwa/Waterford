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rofit and Loss" sheetId="1" r:id="rId1"/>
  </sheets>
  <calcPr calcId="162913"/>
</workbook>
</file>

<file path=xl/sharedStrings.xml><?xml version="1.0" encoding="utf-8"?>
<sst xmlns="http://schemas.openxmlformats.org/spreadsheetml/2006/main" count="76" uniqueCount="76">
  <si>
    <t>Profit and Loss</t>
  </si>
  <si>
    <t>Waterford Administrators (Pty) Ltd</t>
  </si>
  <si>
    <t>For the month ended 31 January 2026</t>
  </si>
  <si>
    <t>Account</t>
  </si>
  <si>
    <t>FV26GTGP</t>
  </si>
  <si>
    <t>FV26GVGP</t>
  </si>
  <si>
    <t>FW28SMGP</t>
  </si>
  <si>
    <t>HW65MMGP</t>
  </si>
  <si>
    <t>JM39BBGP</t>
  </si>
  <si>
    <t>JP29YTGP</t>
  </si>
  <si>
    <t>JP29YVGP</t>
  </si>
  <si>
    <t>JP88KFGP</t>
  </si>
  <si>
    <t>JW59VYGP</t>
  </si>
  <si>
    <t>JW59WDGP</t>
  </si>
  <si>
    <t>JW59WJGP</t>
  </si>
  <si>
    <t>KC31RGGP</t>
  </si>
  <si>
    <t>KD57TSGP</t>
  </si>
  <si>
    <t>KL33WHGP</t>
  </si>
  <si>
    <t>KN41XSGP</t>
  </si>
  <si>
    <t>KP48MNGP</t>
  </si>
  <si>
    <t>KP48MWGP</t>
  </si>
  <si>
    <t>KP48NCGP</t>
  </si>
  <si>
    <t>KP48NFGP</t>
  </si>
  <si>
    <t>KZ89MRGP</t>
  </si>
  <si>
    <t>LC62WSGP</t>
  </si>
  <si>
    <t>LD08SLGP</t>
  </si>
  <si>
    <t>LD08SSGP</t>
  </si>
  <si>
    <t>LD08STGP</t>
  </si>
  <si>
    <t>LD08SWGP</t>
  </si>
  <si>
    <t>LD25XJGP</t>
  </si>
  <si>
    <t>LF60RGGP</t>
  </si>
  <si>
    <t>LR78XJGP</t>
  </si>
  <si>
    <t>LR78YGGP</t>
  </si>
  <si>
    <t>LR78ZBGP</t>
  </si>
  <si>
    <t>LR81ZZGP</t>
  </si>
  <si>
    <t>LS34PGGP</t>
  </si>
  <si>
    <t>LS34PMGP</t>
  </si>
  <si>
    <t>LS34PRGP</t>
  </si>
  <si>
    <t>LV75FKGP</t>
  </si>
  <si>
    <t>LV75GCGP</t>
  </si>
  <si>
    <t>MD69KJGP</t>
  </si>
  <si>
    <t>MD69KRGP</t>
  </si>
  <si>
    <t>MF56SKGP</t>
  </si>
  <si>
    <t>MG45YNGP</t>
  </si>
  <si>
    <t>NON PRODUCTIVE</t>
  </si>
  <si>
    <t>TEMP TRUCK</t>
  </si>
  <si>
    <t>TRAILERS</t>
  </si>
  <si>
    <t>YWX933GP</t>
  </si>
  <si>
    <t>Unassigned</t>
  </si>
  <si>
    <t>Total</t>
  </si>
  <si>
    <t>Trading Income</t>
  </si>
  <si>
    <t>Sales</t>
  </si>
  <si>
    <t>Total Trading Income</t>
  </si>
  <si>
    <t>Gross Profit</t>
  </si>
  <si>
    <t>Other Income</t>
  </si>
  <si>
    <t>Profit on disposal of assets</t>
  </si>
  <si>
    <t>Total Other Income</t>
  </si>
  <si>
    <t>Operating Expenses</t>
  </si>
  <si>
    <t>Administration fee</t>
  </si>
  <si>
    <t>Bank Fees</t>
  </si>
  <si>
    <t>Computer &amp; IT Expenses</t>
  </si>
  <si>
    <t>Depreciation</t>
  </si>
  <si>
    <t>Dirctors Remuneration</t>
  </si>
  <si>
    <t>Insurance</t>
  </si>
  <si>
    <t>Insurance - Vehicles</t>
  </si>
  <si>
    <t>Interest Expense - Instalment Sales</t>
  </si>
  <si>
    <t>Motor Vehicle Exp - Lic &amp; R/worthy</t>
  </si>
  <si>
    <t>Motor Vehicle Exp - Rep &amp; Maint</t>
  </si>
  <si>
    <t>Motor Vehicle Expenses - Parking</t>
  </si>
  <si>
    <t>Rent</t>
  </si>
  <si>
    <t>Salaries &amp; Wages - Other Company Contributions</t>
  </si>
  <si>
    <t>Salaries &amp; Wages - SDL/UIF Co Contribution</t>
  </si>
  <si>
    <t>Telephone &amp; Internet</t>
  </si>
  <si>
    <t>Wages and Salaries</t>
  </si>
  <si>
    <t>Total Operating Expenses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</si>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</sst>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5" fillId="0" borderId="1" xfId="0" applyFont="true" applyBorder="true" applyAlignment="true">
      <alignment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  <xf numFmtId="0" fontId="6" fillId="2" borderId="3" xfId="0" applyFont="true" applyFill="true" applyBorder="true" applyAlignment="true">
      <alignment vertical="center"/>
    </xf>
    <xf numFmtId="164" fontId="6" fillId="2" borderId="3" xfId="0" applyNumberFormat="true" applyFont="true" applyFill="true" applyBorder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U36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45.66015625" customWidth="1"/>
    <col min="2" max="2" width="14" customWidth="1"/>
    <col min="3" max="3" width="14.16015625" customWidth="1"/>
    <col min="4" max="4" width="14.66015625" customWidth="1"/>
    <col min="5" max="5" width="16.16015625" customWidth="1"/>
    <col min="6" max="6" width="14" customWidth="1"/>
    <col min="7" max="7" width="13.16015625" customWidth="1"/>
    <col min="8" max="8" width="13.33203125" customWidth="1"/>
    <col min="9" max="9" width="13.16015625" customWidth="1"/>
    <col min="10" max="10" width="14.33203125" customWidth="1"/>
    <col min="11" max="11" width="15" customWidth="1"/>
    <col min="12" max="13" width="14.5" customWidth="1"/>
    <col min="14" max="14" width="13.83203125" customWidth="1"/>
    <col min="15" max="15" width="15" customWidth="1"/>
    <col min="16" max="16" width="14" customWidth="1"/>
    <col min="17" max="17" width="14.66015625" customWidth="1"/>
    <col min="18" max="18" width="15.16015625" customWidth="1"/>
    <col min="19" max="19" width="14.16015625" customWidth="1"/>
    <col min="20" max="20" width="13.83203125" customWidth="1"/>
    <col min="21" max="21" width="14.66015625" customWidth="1"/>
    <col min="22" max="22" width="14.33203125" customWidth="1"/>
    <col min="23" max="23" width="13.5" customWidth="1"/>
    <col min="24" max="24" width="13.16015625" customWidth="1"/>
    <col min="25" max="25" width="13.5" customWidth="1"/>
    <col min="26" max="26" width="14.33203125" customWidth="1"/>
    <col min="27" max="27" width="13.5" customWidth="1"/>
    <col min="28" max="28" width="14" customWidth="1"/>
    <col min="29" max="29" width="13.5" customWidth="1"/>
    <col min="30" max="30" width="14.16015625" customWidth="1"/>
    <col min="31" max="32" width="13.83203125" customWidth="1"/>
    <col min="33" max="33" width="13.5" customWidth="1"/>
    <col min="34" max="34" width="14" customWidth="1"/>
    <col min="35" max="35" width="13.33203125" customWidth="1"/>
    <col min="36" max="36" width="14" customWidth="1"/>
    <col min="37" max="37" width="14.16015625" customWidth="1"/>
    <col min="38" max="38" width="14.33203125" customWidth="1"/>
    <col min="39" max="39" width="14.83203125" customWidth="1"/>
    <col min="40" max="40" width="14.16015625" customWidth="1"/>
    <col min="41" max="41" width="14.83203125" customWidth="1"/>
    <col min="42" max="42" width="23.83203125" customWidth="1"/>
    <col min="43" max="43" width="17.83203125" customWidth="1"/>
    <col min="44" max="44" width="13.83203125" customWidth="1"/>
    <col min="45" max="45" width="14.33203125" customWidth="1"/>
    <col min="46" max="46" width="13.16015625" customWidth="1"/>
    <col min="47" max="47" width="6.832031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ht="14.4" customHeight="true" customFormat="true" s="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ht="13.35" customHeight="true"/>
    <row r="5" ht="12.1" customHeight="true" customFormat="true" s="5">
      <c r="A5" s="6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7" t="s">
        <v>14</v>
      </c>
      <c r="M5" s="7" t="s">
        <v>15</v>
      </c>
      <c r="N5" s="7" t="s">
        <v>16</v>
      </c>
      <c r="O5" s="7" t="s">
        <v>17</v>
      </c>
      <c r="P5" s="7" t="s">
        <v>18</v>
      </c>
      <c r="Q5" s="7" t="s">
        <v>19</v>
      </c>
      <c r="R5" s="7" t="s">
        <v>20</v>
      </c>
      <c r="S5" s="7" t="s">
        <v>21</v>
      </c>
      <c r="T5" s="7" t="s">
        <v>22</v>
      </c>
      <c r="U5" s="7" t="s">
        <v>23</v>
      </c>
      <c r="V5" s="7" t="s">
        <v>24</v>
      </c>
      <c r="W5" s="7" t="s">
        <v>25</v>
      </c>
      <c r="X5" s="7" t="s">
        <v>26</v>
      </c>
      <c r="Y5" s="7" t="s">
        <v>27</v>
      </c>
      <c r="Z5" s="7" t="s">
        <v>28</v>
      </c>
      <c r="AA5" s="7" t="s">
        <v>29</v>
      </c>
      <c r="AB5" s="7" t="s">
        <v>30</v>
      </c>
      <c r="AC5" s="7" t="s">
        <v>31</v>
      </c>
      <c r="AD5" s="7" t="s">
        <v>32</v>
      </c>
      <c r="AE5" s="7" t="s">
        <v>33</v>
      </c>
      <c r="AF5" s="7" t="s">
        <v>34</v>
      </c>
      <c r="AG5" s="7" t="s">
        <v>35</v>
      </c>
      <c r="AH5" s="7" t="s">
        <v>36</v>
      </c>
      <c r="AI5" s="7" t="s">
        <v>37</v>
      </c>
      <c r="AJ5" s="7" t="s">
        <v>38</v>
      </c>
      <c r="AK5" s="7" t="s">
        <v>39</v>
      </c>
      <c r="AL5" s="7" t="s">
        <v>40</v>
      </c>
      <c r="AM5" s="7" t="s">
        <v>41</v>
      </c>
      <c r="AN5" s="7" t="s">
        <v>42</v>
      </c>
      <c r="AO5" s="7" t="s">
        <v>43</v>
      </c>
      <c r="AP5" s="7" t="s">
        <v>44</v>
      </c>
      <c r="AQ5" s="7" t="s">
        <v>45</v>
      </c>
      <c r="AR5" s="7" t="s">
        <v>46</v>
      </c>
      <c r="AS5" s="7" t="s">
        <v>47</v>
      </c>
      <c r="AT5" s="7" t="s">
        <v>48</v>
      </c>
      <c r="AU5" s="7" t="s">
        <v>49</v>
      </c>
    </row>
    <row r="6" ht="13.35" customHeight="true"/>
    <row r="7" ht="12.1" customHeight="true" customFormat="true" s="5">
      <c r="A7" s="8" t="s">
        <v>50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ht="10.95" customHeight="true" customFormat="true" s="9">
      <c r="A8" s="10" t="s">
        <v>51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3500000.0000</v>
      </c>
      <c r="AU8" s="11">
        <f ca="1">(((((((((((((((((((((((((((((((((((((((((((((((((((((((B8 + C8) + D8) + 0) + 0) + E8) + F8) + G8) + H8) + I8) + J8) + K8) + L8) + M8) + 0) + N8) + 0) + O8) + P8) + Q8) + R8) + S8) + T8) + 0) + 0) + 0) + U8) + V8) + W8) + X8) + Y8) + Z8) + AA8) + 0) + AB8) + AC8) + AD8) + AE8) + AF8) + AG8) + AH8) + AI8) + AJ8) + AK8) + 0) + AL8) + AM8) + AN8) + AO8) + AP8) + 0) + AQ8) + 0) + AR8) + AS8) + AT8)</f>
        <v>0</v>
      </c>
    </row>
    <row r="9" ht="10.95" customHeight="true" customFormat="true" s="9">
      <c r="A9" s="12" t="s">
        <v>52</v>
      </c>
      <c r="B9" s="13">
        <f ca="1">B8</f>
        <v>0</v>
      </c>
      <c r="C9" s="13">
        <f ca="1">C8</f>
        <v>0</v>
      </c>
      <c r="D9" s="13">
        <f ca="1">D8</f>
        <v>0</v>
      </c>
      <c r="E9" s="13">
        <f ca="1">E8</f>
        <v>0</v>
      </c>
      <c r="F9" s="13">
        <f ca="1">F8</f>
        <v>0</v>
      </c>
      <c r="G9" s="13">
        <f ca="1">G8</f>
        <v>0</v>
      </c>
      <c r="H9" s="13">
        <f ca="1">H8</f>
        <v>0</v>
      </c>
      <c r="I9" s="13">
        <f ca="1">I8</f>
        <v>0</v>
      </c>
      <c r="J9" s="13">
        <f ca="1">J8</f>
        <v>0</v>
      </c>
      <c r="K9" s="13">
        <f ca="1">K8</f>
        <v>0</v>
      </c>
      <c r="L9" s="13">
        <f ca="1">L8</f>
        <v>0</v>
      </c>
      <c r="M9" s="13">
        <f ca="1">M8</f>
        <v>0</v>
      </c>
      <c r="N9" s="13">
        <f ca="1">N8</f>
        <v>0</v>
      </c>
      <c r="O9" s="13">
        <f ca="1">O8</f>
        <v>0</v>
      </c>
      <c r="P9" s="13">
        <f ca="1">P8</f>
        <v>0</v>
      </c>
      <c r="Q9" s="13">
        <f ca="1">Q8</f>
        <v>0</v>
      </c>
      <c r="R9" s="13">
        <f ca="1">R8</f>
        <v>0</v>
      </c>
      <c r="S9" s="13">
        <f ca="1">S8</f>
        <v>0</v>
      </c>
      <c r="T9" s="13">
        <f ca="1">T8</f>
        <v>0</v>
      </c>
      <c r="U9" s="13">
        <f ca="1">U8</f>
        <v>0</v>
      </c>
      <c r="V9" s="13">
        <f ca="1">V8</f>
        <v>0</v>
      </c>
      <c r="W9" s="13">
        <f ca="1">W8</f>
        <v>0</v>
      </c>
      <c r="X9" s="13">
        <f ca="1">X8</f>
        <v>0</v>
      </c>
      <c r="Y9" s="13">
        <f ca="1">Y8</f>
        <v>0</v>
      </c>
      <c r="Z9" s="13">
        <f ca="1">Z8</f>
        <v>0</v>
      </c>
      <c r="AA9" s="13">
        <f ca="1">AA8</f>
        <v>0</v>
      </c>
      <c r="AB9" s="13">
        <f ca="1">AB8</f>
        <v>0</v>
      </c>
      <c r="AC9" s="13">
        <f ca="1">AC8</f>
        <v>0</v>
      </c>
      <c r="AD9" s="13">
        <f ca="1">AD8</f>
        <v>0</v>
      </c>
      <c r="AE9" s="13">
        <f ca="1">AE8</f>
        <v>0</v>
      </c>
      <c r="AF9" s="13">
        <f ca="1">AF8</f>
        <v>0</v>
      </c>
      <c r="AG9" s="13">
        <f ca="1">AG8</f>
        <v>0</v>
      </c>
      <c r="AH9" s="13">
        <f ca="1">AH8</f>
        <v>0</v>
      </c>
      <c r="AI9" s="13">
        <f ca="1">AI8</f>
        <v>0</v>
      </c>
      <c r="AJ9" s="13">
        <f ca="1">AJ8</f>
        <v>0</v>
      </c>
      <c r="AK9" s="13">
        <f ca="1">AK8</f>
        <v>0</v>
      </c>
      <c r="AL9" s="13">
        <f ca="1">AL8</f>
        <v>0</v>
      </c>
      <c r="AM9" s="13">
        <f ca="1">AM8</f>
        <v>0</v>
      </c>
      <c r="AN9" s="13">
        <f ca="1">AN8</f>
        <v>0</v>
      </c>
      <c r="AO9" s="13">
        <f ca="1">AO8</f>
        <v>0</v>
      </c>
      <c r="AP9" s="13">
        <f ca="1">AP8</f>
        <v>0</v>
      </c>
      <c r="AQ9" s="13">
        <f ca="1">AQ8</f>
        <v>0</v>
      </c>
      <c r="AR9" s="13">
        <f ca="1">AR8</f>
        <v>0</v>
      </c>
      <c r="AS9" s="13">
        <f ca="1">AS8</f>
        <v>0</v>
      </c>
      <c r="AT9" s="13">
        <f ca="1">AT8</f>
        <v>0</v>
      </c>
      <c r="AU9" s="13">
        <f ca="1">(((((((((((((((((((((((((((((((((((((((((((((((((((((((B9 + C9) + D9) + 0) + 0) + E9) + F9) + G9) + H9) + I9) + J9) + K9) + L9) + M9) + 0) + N9) + 0) + O9) + P9) + Q9) + R9) + S9) + T9) + 0) + 0) + 0) + U9) + V9) + W9) + X9) + Y9) + Z9) + AA9) + 0) + AB9) + AC9) + AD9) + AE9) + AF9) + AG9) + AH9) + AI9) + AJ9) + AK9) + 0) + AL9) + AM9) + AN9) + AO9) + AP9) + 0) + AQ9) + 0) + AR9) + AS9) + AT9)</f>
        <v>0</v>
      </c>
    </row>
    <row r="10" ht="13.35" customHeight="true"/>
    <row r="11" ht="10.95" customHeight="true" customFormat="true" s="9">
      <c r="A11" s="14" t="s">
        <v>53</v>
      </c>
      <c r="B11" s="15">
        <f ca="1">(B9 - 0)</f>
        <v>0</v>
      </c>
      <c r="C11" s="15">
        <f ca="1">(C9 - 0)</f>
        <v>0</v>
      </c>
      <c r="D11" s="15">
        <f ca="1">(D9 - 0)</f>
        <v>0</v>
      </c>
      <c r="E11" s="15">
        <f ca="1">(E9 - 0)</f>
        <v>0</v>
      </c>
      <c r="F11" s="15">
        <f ca="1">(F9 - 0)</f>
        <v>0</v>
      </c>
      <c r="G11" s="15">
        <f ca="1">(G9 - 0)</f>
        <v>0</v>
      </c>
      <c r="H11" s="15">
        <f ca="1">(H9 - 0)</f>
        <v>0</v>
      </c>
      <c r="I11" s="15">
        <f ca="1">(I9 - 0)</f>
        <v>0</v>
      </c>
      <c r="J11" s="15">
        <f ca="1">(J9 - 0)</f>
        <v>0</v>
      </c>
      <c r="K11" s="15">
        <f ca="1">(K9 - 0)</f>
        <v>0</v>
      </c>
      <c r="L11" s="15">
        <f ca="1">(L9 - 0)</f>
        <v>0</v>
      </c>
      <c r="M11" s="15">
        <f ca="1">(M9 - 0)</f>
        <v>0</v>
      </c>
      <c r="N11" s="15">
        <f ca="1">(N9 - 0)</f>
        <v>0</v>
      </c>
      <c r="O11" s="15">
        <f ca="1">(O9 - 0)</f>
        <v>0</v>
      </c>
      <c r="P11" s="15">
        <f ca="1">(P9 - 0)</f>
        <v>0</v>
      </c>
      <c r="Q11" s="15">
        <f ca="1">(Q9 - 0)</f>
        <v>0</v>
      </c>
      <c r="R11" s="15">
        <f ca="1">(R9 - 0)</f>
        <v>0</v>
      </c>
      <c r="S11" s="15">
        <f ca="1">(S9 - 0)</f>
        <v>0</v>
      </c>
      <c r="T11" s="15">
        <f ca="1">(T9 - 0)</f>
        <v>0</v>
      </c>
      <c r="U11" s="15">
        <f ca="1">(U9 - 0)</f>
        <v>0</v>
      </c>
      <c r="V11" s="15">
        <f ca="1">(V9 - 0)</f>
        <v>0</v>
      </c>
      <c r="W11" s="15">
        <f ca="1">(W9 - 0)</f>
        <v>0</v>
      </c>
      <c r="X11" s="15">
        <f ca="1">(X9 - 0)</f>
        <v>0</v>
      </c>
      <c r="Y11" s="15">
        <f ca="1">(Y9 - 0)</f>
        <v>0</v>
      </c>
      <c r="Z11" s="15">
        <f ca="1">(Z9 - 0)</f>
        <v>0</v>
      </c>
      <c r="AA11" s="15">
        <f ca="1">(AA9 - 0)</f>
        <v>0</v>
      </c>
      <c r="AB11" s="15">
        <f ca="1">(AB9 - 0)</f>
        <v>0</v>
      </c>
      <c r="AC11" s="15">
        <f ca="1">(AC9 - 0)</f>
        <v>0</v>
      </c>
      <c r="AD11" s="15">
        <f ca="1">(AD9 - 0)</f>
        <v>0</v>
      </c>
      <c r="AE11" s="15">
        <f ca="1">(AE9 - 0)</f>
        <v>0</v>
      </c>
      <c r="AF11" s="15">
        <f ca="1">(AF9 - 0)</f>
        <v>0</v>
      </c>
      <c r="AG11" s="15">
        <f ca="1">(AG9 - 0)</f>
        <v>0</v>
      </c>
      <c r="AH11" s="15">
        <f ca="1">(AH9 - 0)</f>
        <v>0</v>
      </c>
      <c r="AI11" s="15">
        <f ca="1">(AI9 - 0)</f>
        <v>0</v>
      </c>
      <c r="AJ11" s="15">
        <f ca="1">(AJ9 - 0)</f>
        <v>0</v>
      </c>
      <c r="AK11" s="15">
        <f ca="1">(AK9 - 0)</f>
        <v>0</v>
      </c>
      <c r="AL11" s="15">
        <f ca="1">(AL9 - 0)</f>
        <v>0</v>
      </c>
      <c r="AM11" s="15">
        <f ca="1">(AM9 - 0)</f>
        <v>0</v>
      </c>
      <c r="AN11" s="15">
        <f ca="1">(AN9 - 0)</f>
        <v>0</v>
      </c>
      <c r="AO11" s="15">
        <f ca="1">(AO9 - 0)</f>
        <v>0</v>
      </c>
      <c r="AP11" s="15">
        <f ca="1">(AP9 - 0)</f>
        <v>0</v>
      </c>
      <c r="AQ11" s="15">
        <f ca="1">(AQ9 - 0)</f>
        <v>0</v>
      </c>
      <c r="AR11" s="15">
        <f ca="1">(AR9 - 0)</f>
        <v>0</v>
      </c>
      <c r="AS11" s="15">
        <f ca="1">(AS9 - 0)</f>
        <v>0</v>
      </c>
      <c r="AT11" s="15">
        <f ca="1">(AT9 - 0)</f>
        <v>0</v>
      </c>
      <c r="AU11" s="15">
        <f ca="1">(((((((((((((((((((((((((((((((((((((((((((((((((((((((B11 + C11) + D11) + 0) + 0) + E11) + F11) + G11) + H11) + I11) + J11) + K11) + L11) + M11) + 0) + N11) + 0) + O11) + P11) + Q11) + R11) + S11) + T11) + 0) + 0) + 0) + U11) + V11) + W11) + X11) + Y11) + Z11) + AA11) + 0) + AB11) + AC11) + AD11) + AE11) + AF11) + AG11) + AH11) + AI11) + AJ11) + AK11) + 0) + AL11) + AM11) + AN11) + AO11) + AP11) + 0) + AQ11) + 0) + AR11) + AS11) + AT11)</f>
        <v>0</v>
      </c>
    </row>
    <row r="12" ht="13.35" customHeight="true"/>
    <row r="13" ht="12.1" customHeight="true" customFormat="true" s="5">
      <c r="A13" s="8" t="s">
        <v>54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ht="10.95" customHeight="true" customFormat="true" s="9">
      <c r="A14" s="10" t="s">
        <v>55</v>
      </c>
      <c r="B14" s="11">
        <v>0</v>
      </c>
      <c r="C14" s="11">
        <v>-526166.0300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521739.1300</v>
      </c>
      <c r="AU14" s="11">
        <f ca="1">(((((((((((((((((((((((((((((((((((((((((((((((((((((((B14 + C14) + D14) + 0) + 0) + E14) + F14) + G14) + H14) + I14) + J14) + K14) + L14) + M14) + 0) + N14) + 0) + O14) + P14) + Q14) + R14) + S14) + T14) + 0) + 0) + 0) + U14) + V14) + W14) + X14) + Y14) + Z14) + AA14) + 0) + AB14) + AC14) + AD14) + AE14) + AF14) + AG14) + AH14) + AI14) + AJ14) + AK14) + 0) + AL14) + AM14) + AN14) + AO14) + AP14) + 0) + AQ14) + 0) + AR14) + AS14) + AT14)</f>
        <v>0</v>
      </c>
    </row>
    <row r="15" ht="10.95" customHeight="true" customFormat="true" s="9">
      <c r="A15" s="12" t="s">
        <v>56</v>
      </c>
      <c r="B15" s="13">
        <f ca="1">B14</f>
        <v>0</v>
      </c>
      <c r="C15" s="13">
        <f ca="1">C14</f>
        <v>0</v>
      </c>
      <c r="D15" s="13">
        <f ca="1">D14</f>
        <v>0</v>
      </c>
      <c r="E15" s="13">
        <f ca="1">E14</f>
        <v>0</v>
      </c>
      <c r="F15" s="13">
        <f ca="1">F14</f>
        <v>0</v>
      </c>
      <c r="G15" s="13">
        <f ca="1">G14</f>
        <v>0</v>
      </c>
      <c r="H15" s="13">
        <f ca="1">H14</f>
        <v>0</v>
      </c>
      <c r="I15" s="13">
        <f ca="1">I14</f>
        <v>0</v>
      </c>
      <c r="J15" s="13">
        <f ca="1">J14</f>
        <v>0</v>
      </c>
      <c r="K15" s="13">
        <f ca="1">K14</f>
        <v>0</v>
      </c>
      <c r="L15" s="13">
        <f ca="1">L14</f>
        <v>0</v>
      </c>
      <c r="M15" s="13">
        <f ca="1">M14</f>
        <v>0</v>
      </c>
      <c r="N15" s="13">
        <f ca="1">N14</f>
        <v>0</v>
      </c>
      <c r="O15" s="13">
        <f ca="1">O14</f>
        <v>0</v>
      </c>
      <c r="P15" s="13">
        <f ca="1">P14</f>
        <v>0</v>
      </c>
      <c r="Q15" s="13">
        <f ca="1">Q14</f>
        <v>0</v>
      </c>
      <c r="R15" s="13">
        <f ca="1">R14</f>
        <v>0</v>
      </c>
      <c r="S15" s="13">
        <f ca="1">S14</f>
        <v>0</v>
      </c>
      <c r="T15" s="13">
        <f ca="1">T14</f>
        <v>0</v>
      </c>
      <c r="U15" s="13">
        <f ca="1">U14</f>
        <v>0</v>
      </c>
      <c r="V15" s="13">
        <f ca="1">V14</f>
        <v>0</v>
      </c>
      <c r="W15" s="13">
        <f ca="1">W14</f>
        <v>0</v>
      </c>
      <c r="X15" s="13">
        <f ca="1">X14</f>
        <v>0</v>
      </c>
      <c r="Y15" s="13">
        <f ca="1">Y14</f>
        <v>0</v>
      </c>
      <c r="Z15" s="13">
        <f ca="1">Z14</f>
        <v>0</v>
      </c>
      <c r="AA15" s="13">
        <f ca="1">AA14</f>
        <v>0</v>
      </c>
      <c r="AB15" s="13">
        <f ca="1">AB14</f>
        <v>0</v>
      </c>
      <c r="AC15" s="13">
        <f ca="1">AC14</f>
        <v>0</v>
      </c>
      <c r="AD15" s="13">
        <f ca="1">AD14</f>
        <v>0</v>
      </c>
      <c r="AE15" s="13">
        <f ca="1">AE14</f>
        <v>0</v>
      </c>
      <c r="AF15" s="13">
        <f ca="1">AF14</f>
        <v>0</v>
      </c>
      <c r="AG15" s="13">
        <f ca="1">AG14</f>
        <v>0</v>
      </c>
      <c r="AH15" s="13">
        <f ca="1">AH14</f>
        <v>0</v>
      </c>
      <c r="AI15" s="13">
        <f ca="1">AI14</f>
        <v>0</v>
      </c>
      <c r="AJ15" s="13">
        <f ca="1">AJ14</f>
        <v>0</v>
      </c>
      <c r="AK15" s="13">
        <f ca="1">AK14</f>
        <v>0</v>
      </c>
      <c r="AL15" s="13">
        <f ca="1">AL14</f>
        <v>0</v>
      </c>
      <c r="AM15" s="13">
        <f ca="1">AM14</f>
        <v>0</v>
      </c>
      <c r="AN15" s="13">
        <f ca="1">AN14</f>
        <v>0</v>
      </c>
      <c r="AO15" s="13">
        <f ca="1">AO14</f>
        <v>0</v>
      </c>
      <c r="AP15" s="13">
        <f ca="1">AP14</f>
        <v>0</v>
      </c>
      <c r="AQ15" s="13">
        <f ca="1">AQ14</f>
        <v>0</v>
      </c>
      <c r="AR15" s="13">
        <f ca="1">AR14</f>
        <v>0</v>
      </c>
      <c r="AS15" s="13">
        <f ca="1">AS14</f>
        <v>0</v>
      </c>
      <c r="AT15" s="13">
        <f ca="1">AT14</f>
        <v>0</v>
      </c>
      <c r="AU15" s="13">
        <f ca="1">(((((((((((((((((((((((((((((((((((((((((((((((((((((((B15 + C15) + D15) + 0) + 0) + E15) + F15) + G15) + H15) + I15) + J15) + K15) + L15) + M15) + 0) + N15) + 0) + O15) + P15) + Q15) + R15) + S15) + T15) + 0) + 0) + 0) + U15) + V15) + W15) + X15) + Y15) + Z15) + AA15) + 0) + AB15) + AC15) + AD15) + AE15) + AF15) + AG15) + AH15) + AI15) + AJ15) + AK15) + 0) + AL15) + AM15) + AN15) + AO15) + AP15) + 0) + AQ15) + 0) + AR15) + AS15) + AT15)</f>
        <v>0</v>
      </c>
    </row>
    <row r="16" ht="13.35" customHeight="true"/>
    <row r="17" ht="12.1" customHeight="true" customFormat="true" s="5">
      <c r="A17" s="8" t="s">
        <v>57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ht="10.95" customHeight="true" customFormat="true" s="9">
      <c r="A18" s="10" t="s">
        <v>58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1000.0000</v>
      </c>
      <c r="AU18" s="11">
        <f ca="1">(((((((((((((((((((((((((((((((((((((((((((((((((((((((B18 + C18) + D18) + 0) + 0) + E18) + F18) + G18) + H18) + I18) + J18) + K18) + L18) + M18) + 0) + N18) + 0) + O18) + P18) + Q18) + R18) + S18) + T18) + 0) + 0) + 0) + U18) + V18) + W18) + X18) + Y18) + Z18) + AA18) + 0) + AB18) + AC18) + AD18) + AE18) + AF18) + AG18) + AH18) + AI18) + AJ18) + AK18) + 0) + AL18) + AM18) + AN18) + AO18) + AP18) + 0) + AQ18) + 0) + AR18) + AS18) + AT18)</f>
        <v>0</v>
      </c>
    </row>
    <row r="19" ht="10.95" customHeight="true" customFormat="true" s="9">
      <c r="A19" s="16" t="s">
        <v>59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9105.7700</v>
      </c>
      <c r="AU19" s="17">
        <f ca="1">(((((((((((((((((((((((((((((((((((((((((((((((((((((((B19 + C19) + D19) + 0) + 0) + E19) + F19) + G19) + H19) + I19) + J19) + K19) + L19) + M19) + 0) + N19) + 0) + O19) + P19) + Q19) + R19) + S19) + T19) + 0) + 0) + 0) + U19) + V19) + W19) + X19) + Y19) + Z19) + AA19) + 0) + AB19) + AC19) + AD19) + AE19) + AF19) + AG19) + AH19) + AI19) + AJ19) + AK19) + 0) + AL19) + AM19) + AN19) + AO19) + AP19) + 0) + AQ19) + 0) + AR19) + AS19) + AT19)</f>
        <v>0</v>
      </c>
    </row>
    <row r="20" ht="10.95" customHeight="true" customFormat="true" s="9">
      <c r="A20" s="16" t="s">
        <v>60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17">
        <v>430.0800</v>
      </c>
      <c r="AU20" s="17">
        <f ca="1">(((((((((((((((((((((((((((((((((((((((((((((((((((((((B20 + C20) + D20) + 0) + 0) + E20) + F20) + G20) + H20) + I20) + J20) + K20) + L20) + M20) + 0) + N20) + 0) + O20) + P20) + Q20) + R20) + S20) + T20) + 0) + 0) + 0) + U20) + V20) + W20) + X20) + Y20) + Z20) + AA20) + 0) + AB20) + AC20) + AD20) + AE20) + AF20) + AG20) + AH20) + AI20) + AJ20) + AK20) + 0) + AL20) + AM20) + AN20) + AO20) + AP20) + 0) + AQ20) + 0) + AR20) + AS20) + AT20)</f>
        <v>0</v>
      </c>
    </row>
    <row r="21" ht="10.95" customHeight="true" customFormat="true" s="9">
      <c r="A21" s="16" t="s">
        <v>61</v>
      </c>
      <c r="B21" s="17">
        <v>3919.4500</v>
      </c>
      <c r="C21" s="17">
        <v>3919.4500</v>
      </c>
      <c r="D21" s="17">
        <v>1184.6600</v>
      </c>
      <c r="E21" s="17">
        <v>2500.9400</v>
      </c>
      <c r="F21" s="17">
        <v>2500.9400</v>
      </c>
      <c r="G21" s="17">
        <v>2500.9400</v>
      </c>
      <c r="H21" s="17">
        <v>2500.9400</v>
      </c>
      <c r="I21" s="17">
        <v>2500.9400</v>
      </c>
      <c r="J21" s="17">
        <v>2500.9400</v>
      </c>
      <c r="K21" s="17">
        <v>2500.9400</v>
      </c>
      <c r="L21" s="17">
        <v>2500.9500</v>
      </c>
      <c r="M21" s="17">
        <v>8916.4100</v>
      </c>
      <c r="N21" s="17">
        <v>9902.7200</v>
      </c>
      <c r="O21" s="17">
        <v>13685.8200</v>
      </c>
      <c r="P21" s="17">
        <v>14484.0900</v>
      </c>
      <c r="Q21" s="17">
        <v>11667.8500</v>
      </c>
      <c r="R21" s="17">
        <v>11667.8500</v>
      </c>
      <c r="S21" s="17">
        <v>11667.8500</v>
      </c>
      <c r="T21" s="17">
        <v>11667.8500</v>
      </c>
      <c r="U21" s="17">
        <v>19558.5900</v>
      </c>
      <c r="V21" s="17">
        <v>15945.6100</v>
      </c>
      <c r="W21" s="17">
        <v>15272.0900</v>
      </c>
      <c r="X21" s="17">
        <v>15272.0900</v>
      </c>
      <c r="Y21" s="17">
        <v>15272.0900</v>
      </c>
      <c r="Z21" s="17">
        <v>15272.0900</v>
      </c>
      <c r="AA21" s="17">
        <v>2500.9400</v>
      </c>
      <c r="AB21" s="17">
        <v>16429.7100</v>
      </c>
      <c r="AC21" s="17">
        <v>16859.8300</v>
      </c>
      <c r="AD21" s="17">
        <v>19360.7700</v>
      </c>
      <c r="AE21" s="17">
        <v>19360.7700</v>
      </c>
      <c r="AF21" s="17">
        <v>18909.7400</v>
      </c>
      <c r="AG21" s="17">
        <v>19402.3100</v>
      </c>
      <c r="AH21" s="17">
        <v>19402.3500</v>
      </c>
      <c r="AI21" s="17">
        <v>19402.3100</v>
      </c>
      <c r="AJ21" s="17">
        <v>18909.7400</v>
      </c>
      <c r="AK21" s="17">
        <v>18909.7400</v>
      </c>
      <c r="AL21" s="17">
        <v>19469.6300</v>
      </c>
      <c r="AM21" s="17">
        <v>19469.6300</v>
      </c>
      <c r="AN21" s="17">
        <v>17771.0000</v>
      </c>
      <c r="AO21" s="17">
        <v>20323.8500</v>
      </c>
      <c r="AP21" s="17">
        <v>3788.9200</v>
      </c>
      <c r="AQ21" s="17">
        <v>0</v>
      </c>
      <c r="AR21" s="17">
        <v>83880.5800</v>
      </c>
      <c r="AS21" s="17">
        <v>1184.6600</v>
      </c>
      <c r="AT21" s="17">
        <v>-86154.9000</v>
      </c>
      <c r="AU21" s="17">
        <f ca="1">(((((((((((((((((((((((((((((((((((((((((((((((((((((((B21 + C21) + D21) + 0) + 0) + E21) + F21) + G21) + H21) + I21) + J21) + K21) + L21) + M21) + 0) + N21) + 0) + O21) + P21) + Q21) + R21) + S21) + T21) + 0) + 0) + 0) + U21) + V21) + W21) + X21) + Y21) + Z21) + AA21) + 0) + AB21) + AC21) + AD21) + AE21) + AF21) + AG21) + AH21) + AI21) + AJ21) + AK21) + 0) + AL21) + AM21) + AN21) + AO21) + AP21) + 0) + AQ21) + 0) + AR21) + AS21) + AT21)</f>
        <v>0</v>
      </c>
    </row>
    <row r="22" ht="10.95" customHeight="true" customFormat="true" s="9">
      <c r="A22" s="16" t="s">
        <v>62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37450.0000</v>
      </c>
      <c r="AU22" s="17">
        <f ca="1">(((((((((((((((((((((((((((((((((((((((((((((((((((((((B22 + C22) + D22) + 0) + 0) + E22) + F22) + G22) + H22) + I22) + J22) + K22) + L22) + M22) + 0) + N22) + 0) + O22) + P22) + Q22) + R22) + S22) + T22) + 0) + 0) + 0) + U22) + V22) + W22) + X22) + Y22) + Z22) + AA22) + 0) + AB22) + AC22) + AD22) + AE22) + AF22) + AG22) + AH22) + AI22) + AJ22) + AK22) + 0) + AL22) + AM22) + AN22) + AO22) + AP22) + 0) + AQ22) + 0) + AR22) + AS22) + AT22)</f>
        <v>0</v>
      </c>
    </row>
    <row r="23" ht="10.95" customHeight="true" customFormat="true" s="9">
      <c r="A23" s="16" t="s">
        <v>63</v>
      </c>
      <c r="B23" s="17">
        <v>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46511.9700</v>
      </c>
      <c r="AU23" s="17">
        <f ca="1">(((((((((((((((((((((((((((((((((((((((((((((((((((((((B23 + C23) + D23) + 0) + 0) + E23) + F23) + G23) + H23) + I23) + J23) + K23) + L23) + M23) + 0) + N23) + 0) + O23) + P23) + Q23) + R23) + S23) + T23) + 0) + 0) + 0) + U23) + V23) + W23) + X23) + Y23) + Z23) + AA23) + 0) + AB23) + AC23) + AD23) + AE23) + AF23) + AG23) + AH23) + AI23) + AJ23) + AK23) + 0) + AL23) + AM23) + AN23) + AO23) + AP23) + 0) + AQ23) + 0) + AR23) + AS23) + AT23)</f>
        <v>0</v>
      </c>
    </row>
    <row r="24" ht="10.95" customHeight="true" customFormat="true" s="9">
      <c r="A24" s="16" t="s">
        <v>64</v>
      </c>
      <c r="B24" s="17">
        <v>2388.9100</v>
      </c>
      <c r="C24" s="17">
        <v>0</v>
      </c>
      <c r="D24" s="17">
        <v>2090.3000</v>
      </c>
      <c r="E24" s="17">
        <v>0</v>
      </c>
      <c r="F24" s="17">
        <v>6868.1200</v>
      </c>
      <c r="G24" s="17">
        <v>7465.3500</v>
      </c>
      <c r="H24" s="17">
        <v>6270.8900</v>
      </c>
      <c r="I24" s="17">
        <v>6270.8900</v>
      </c>
      <c r="J24" s="17">
        <v>7465.3500</v>
      </c>
      <c r="K24" s="17">
        <v>7465.3500</v>
      </c>
      <c r="L24" s="17">
        <v>7465.3500</v>
      </c>
      <c r="M24" s="17">
        <v>5076.4400</v>
      </c>
      <c r="N24" s="17">
        <v>4777.8200</v>
      </c>
      <c r="O24" s="17">
        <v>8361.1900</v>
      </c>
      <c r="P24" s="17">
        <v>8361.1900</v>
      </c>
      <c r="Q24" s="17">
        <v>6270.8900</v>
      </c>
      <c r="R24" s="17">
        <v>6270.8900</v>
      </c>
      <c r="S24" s="17">
        <v>6270.8900</v>
      </c>
      <c r="T24" s="17">
        <v>6270.8900</v>
      </c>
      <c r="U24" s="17">
        <v>9854.2600</v>
      </c>
      <c r="V24" s="17">
        <v>8361.1900</v>
      </c>
      <c r="W24" s="17">
        <v>8361.1900</v>
      </c>
      <c r="X24" s="17">
        <v>8361.1900</v>
      </c>
      <c r="Y24" s="17">
        <v>8361.1900</v>
      </c>
      <c r="Z24" s="17">
        <v>8361.1900</v>
      </c>
      <c r="AA24" s="17">
        <v>0</v>
      </c>
      <c r="AB24" s="17">
        <v>8361.1900</v>
      </c>
      <c r="AC24" s="17">
        <v>11944.5600</v>
      </c>
      <c r="AD24" s="17">
        <v>11944.5600</v>
      </c>
      <c r="AE24" s="17">
        <v>11944.5600</v>
      </c>
      <c r="AF24" s="17">
        <v>11944.5600</v>
      </c>
      <c r="AG24" s="17">
        <v>8361.1900</v>
      </c>
      <c r="AH24" s="17">
        <v>8361.1900</v>
      </c>
      <c r="AI24" s="17">
        <v>8361.1900</v>
      </c>
      <c r="AJ24" s="17">
        <v>11944.5600</v>
      </c>
      <c r="AK24" s="17">
        <v>11944.5600</v>
      </c>
      <c r="AL24" s="17">
        <v>9555.6400</v>
      </c>
      <c r="AM24" s="17">
        <v>9555.6400</v>
      </c>
      <c r="AN24" s="17">
        <v>9555.6400</v>
      </c>
      <c r="AO24" s="17">
        <v>9555.6400</v>
      </c>
      <c r="AP24" s="17">
        <v>0</v>
      </c>
      <c r="AQ24" s="17">
        <v>0</v>
      </c>
      <c r="AR24" s="17">
        <v>0</v>
      </c>
      <c r="AS24" s="17">
        <v>895.8400</v>
      </c>
      <c r="AT24" s="17">
        <v>0</v>
      </c>
      <c r="AU24" s="17">
        <f ca="1">(((((((((((((((((((((((((((((((((((((((((((((((((((((((B24 + C24) + D24) + 0) + 0) + E24) + F24) + G24) + H24) + I24) + J24) + K24) + L24) + M24) + 0) + N24) + 0) + O24) + P24) + Q24) + R24) + S24) + T24) + 0) + 0) + 0) + U24) + V24) + W24) + X24) + Y24) + Z24) + AA24) + 0) + AB24) + AC24) + AD24) + AE24) + AF24) + AG24) + AH24) + AI24) + AJ24) + AK24) + 0) + AL24) + AM24) + AN24) + AO24) + AP24) + 0) + AQ24) + 0) + AR24) + AS24) + AT24)</f>
        <v>0</v>
      </c>
    </row>
    <row r="25" ht="10.95" customHeight="true" customFormat="true" s="9">
      <c r="A25" s="16" t="s">
        <v>65</v>
      </c>
      <c r="B25" s="17">
        <v>0</v>
      </c>
      <c r="C25" s="17">
        <v>2211.4800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1815.5800</v>
      </c>
      <c r="P25" s="17">
        <v>2839.3400</v>
      </c>
      <c r="Q25" s="17">
        <v>2371.1800</v>
      </c>
      <c r="R25" s="17">
        <v>2371.1800</v>
      </c>
      <c r="S25" s="17">
        <v>2371.1800</v>
      </c>
      <c r="T25" s="17">
        <v>1915.8300</v>
      </c>
      <c r="U25" s="17">
        <v>7297.2600</v>
      </c>
      <c r="V25" s="17">
        <v>6757.2400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13997.9000</v>
      </c>
      <c r="AD25" s="17">
        <v>13997.9000</v>
      </c>
      <c r="AE25" s="17">
        <v>13997.9000</v>
      </c>
      <c r="AF25" s="17">
        <v>15454.8400</v>
      </c>
      <c r="AG25" s="17">
        <v>0</v>
      </c>
      <c r="AH25" s="17">
        <v>0</v>
      </c>
      <c r="AI25" s="17">
        <v>0</v>
      </c>
      <c r="AJ25" s="17">
        <v>14141.6400</v>
      </c>
      <c r="AK25" s="17">
        <v>14141.6400</v>
      </c>
      <c r="AL25" s="17">
        <v>9608.6300</v>
      </c>
      <c r="AM25" s="17">
        <v>11590.6000</v>
      </c>
      <c r="AN25" s="17">
        <v>11590.6000</v>
      </c>
      <c r="AO25" s="17">
        <v>10634.6000</v>
      </c>
      <c r="AP25" s="17">
        <v>0</v>
      </c>
      <c r="AQ25" s="17">
        <v>0</v>
      </c>
      <c r="AR25" s="17">
        <v>61875.7500</v>
      </c>
      <c r="AS25" s="17">
        <v>0</v>
      </c>
      <c r="AT25" s="17">
        <v>30949.8200</v>
      </c>
      <c r="AU25" s="17">
        <f ca="1">(((((((((((((((((((((((((((((((((((((((((((((((((((((((B25 + C25) + D25) + 0) + 0) + E25) + F25) + G25) + H25) + I25) + J25) + K25) + L25) + M25) + 0) + N25) + 0) + O25) + P25) + Q25) + R25) + S25) + T25) + 0) + 0) + 0) + U25) + V25) + W25) + X25) + Y25) + Z25) + AA25) + 0) + AB25) + AC25) + AD25) + AE25) + AF25) + AG25) + AH25) + AI25) + AJ25) + AK25) + 0) + AL25) + AM25) + AN25) + AO25) + AP25) + 0) + AQ25) + 0) + AR25) + AS25) + AT25)</f>
        <v>0</v>
      </c>
    </row>
    <row r="26" ht="10.95" customHeight="true" customFormat="true" s="9">
      <c r="A26" s="16" t="s">
        <v>66</v>
      </c>
      <c r="B26" s="17">
        <v>0</v>
      </c>
      <c r="C26" s="17">
        <v>0</v>
      </c>
      <c r="D26" s="17">
        <v>0</v>
      </c>
      <c r="E26" s="17">
        <v>0</v>
      </c>
      <c r="F26" s="17">
        <v>8761.0000</v>
      </c>
      <c r="G26" s="17">
        <v>15729.0000</v>
      </c>
      <c r="H26" s="17">
        <v>15729.0000</v>
      </c>
      <c r="I26" s="17">
        <v>6968.0000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8761.0000</v>
      </c>
      <c r="P26" s="17">
        <v>8761.0000</v>
      </c>
      <c r="Q26" s="17">
        <v>17522.0000</v>
      </c>
      <c r="R26" s="17">
        <v>0</v>
      </c>
      <c r="S26" s="17">
        <v>17522.0000</v>
      </c>
      <c r="T26" s="17">
        <v>17522.0000</v>
      </c>
      <c r="U26" s="17">
        <v>0</v>
      </c>
      <c r="V26" s="17">
        <v>8761.0000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>
        <v>23530.8000</v>
      </c>
      <c r="AS26" s="17">
        <v>0</v>
      </c>
      <c r="AT26" s="17">
        <v>8761.0000</v>
      </c>
      <c r="AU26" s="17">
        <f ca="1">(((((((((((((((((((((((((((((((((((((((((((((((((((((((B26 + C26) + D26) + 0) + 0) + E26) + F26) + G26) + H26) + I26) + J26) + K26) + L26) + M26) + 0) + N26) + 0) + O26) + P26) + Q26) + R26) + S26) + T26) + 0) + 0) + 0) + U26) + V26) + W26) + X26) + Y26) + Z26) + AA26) + 0) + AB26) + AC26) + AD26) + AE26) + AF26) + AG26) + AH26) + AI26) + AJ26) + AK26) + 0) + AL26) + AM26) + AN26) + AO26) + AP26) + 0) + AQ26) + 0) + AR26) + AS26) + AT26)</f>
        <v>0</v>
      </c>
    </row>
    <row r="27" ht="10.95" customHeight="true" customFormat="true" s="9">
      <c r="A27" s="16" t="s">
        <v>67</v>
      </c>
      <c r="B27" s="17">
        <v>0</v>
      </c>
      <c r="C27" s="17">
        <v>0</v>
      </c>
      <c r="D27" s="17">
        <v>0</v>
      </c>
      <c r="E27" s="17">
        <v>0</v>
      </c>
      <c r="F27" s="17">
        <v>11235.9800</v>
      </c>
      <c r="G27" s="17">
        <v>0</v>
      </c>
      <c r="H27" s="17">
        <v>0</v>
      </c>
      <c r="I27" s="17">
        <v>0</v>
      </c>
      <c r="J27" s="17">
        <v>7033.5400</v>
      </c>
      <c r="K27" s="17">
        <v>7003.8000</v>
      </c>
      <c r="L27" s="17">
        <v>6361.4200</v>
      </c>
      <c r="M27" s="17">
        <v>0</v>
      </c>
      <c r="N27" s="17">
        <v>0</v>
      </c>
      <c r="O27" s="17">
        <v>5704.2300</v>
      </c>
      <c r="P27" s="17">
        <v>5161.6200</v>
      </c>
      <c r="Q27" s="17">
        <v>7456.0700</v>
      </c>
      <c r="R27" s="17">
        <v>6764.1100</v>
      </c>
      <c r="S27" s="17">
        <v>6530.0000</v>
      </c>
      <c r="T27" s="17">
        <v>6380.5500</v>
      </c>
      <c r="U27" s="17">
        <v>7246.7300</v>
      </c>
      <c r="V27" s="17">
        <v>9716.2400</v>
      </c>
      <c r="W27" s="17">
        <v>7730.9000</v>
      </c>
      <c r="X27" s="17">
        <v>5366.5100</v>
      </c>
      <c r="Y27" s="17">
        <v>6265.5600</v>
      </c>
      <c r="Z27" s="17">
        <v>0</v>
      </c>
      <c r="AA27" s="17">
        <v>0</v>
      </c>
      <c r="AB27" s="17">
        <v>10139.5700</v>
      </c>
      <c r="AC27" s="17">
        <v>5403.9200</v>
      </c>
      <c r="AD27" s="17">
        <v>5408.4600</v>
      </c>
      <c r="AE27" s="17">
        <v>5978.8500</v>
      </c>
      <c r="AF27" s="17">
        <v>6186.5100</v>
      </c>
      <c r="AG27" s="17">
        <v>6532.8600</v>
      </c>
      <c r="AH27" s="17">
        <v>7494.4600</v>
      </c>
      <c r="AI27" s="17">
        <v>7489.8300</v>
      </c>
      <c r="AJ27" s="17">
        <v>6557.4600</v>
      </c>
      <c r="AK27" s="17">
        <v>5810.4100</v>
      </c>
      <c r="AL27" s="17">
        <v>7610.0000</v>
      </c>
      <c r="AM27" s="17">
        <v>7610.0000</v>
      </c>
      <c r="AN27" s="17">
        <v>7610.0000</v>
      </c>
      <c r="AO27" s="17">
        <v>7610.0000</v>
      </c>
      <c r="AP27" s="17">
        <v>0</v>
      </c>
      <c r="AQ27" s="17">
        <v>0</v>
      </c>
      <c r="AR27" s="17">
        <v>0</v>
      </c>
      <c r="AS27" s="17">
        <v>0</v>
      </c>
      <c r="AT27" s="17">
        <v>5434.5200</v>
      </c>
      <c r="AU27" s="17">
        <f ca="1">(((((((((((((((((((((((((((((((((((((((((((((((((((((((B27 + C27) + D27) + 0) + 0) + E27) + F27) + G27) + H27) + I27) + J27) + K27) + L27) + M27) + 0) + N27) + 0) + O27) + P27) + Q27) + R27) + S27) + T27) + 0) + 0) + 0) + U27) + V27) + W27) + X27) + Y27) + Z27) + AA27) + 0) + AB27) + AC27) + AD27) + AE27) + AF27) + AG27) + AH27) + AI27) + AJ27) + AK27) + 0) + AL27) + AM27) + AN27) + AO27) + AP27) + 0) + AQ27) + 0) + AR27) + AS27) + AT27)</f>
        <v>0</v>
      </c>
    </row>
    <row r="28" ht="10.95" customHeight="true" customFormat="true" s="9">
      <c r="A28" s="16" t="s">
        <v>68</v>
      </c>
      <c r="B28" s="17">
        <v>0</v>
      </c>
      <c r="C28" s="17">
        <v>0</v>
      </c>
      <c r="D28" s="17">
        <v>0</v>
      </c>
      <c r="E28" s="17">
        <v>600.0000</v>
      </c>
      <c r="F28" s="17">
        <v>0</v>
      </c>
      <c r="G28" s="17">
        <v>0</v>
      </c>
      <c r="H28" s="17">
        <v>150.0000</v>
      </c>
      <c r="I28" s="17">
        <v>0</v>
      </c>
      <c r="J28" s="17">
        <v>300.0000</v>
      </c>
      <c r="K28" s="17">
        <v>0</v>
      </c>
      <c r="L28" s="17">
        <v>150.0000</v>
      </c>
      <c r="M28" s="17">
        <v>0</v>
      </c>
      <c r="N28" s="17">
        <v>450.0000</v>
      </c>
      <c r="O28" s="17">
        <v>150.0000</v>
      </c>
      <c r="P28" s="17">
        <v>0</v>
      </c>
      <c r="Q28" s="17">
        <v>0</v>
      </c>
      <c r="R28" s="17">
        <v>0</v>
      </c>
      <c r="S28" s="17">
        <v>300.0000</v>
      </c>
      <c r="T28" s="17">
        <v>0</v>
      </c>
      <c r="U28" s="17">
        <v>0</v>
      </c>
      <c r="V28" s="17">
        <v>150.0000</v>
      </c>
      <c r="W28" s="17">
        <v>0</v>
      </c>
      <c r="X28" s="17">
        <v>150.0000</v>
      </c>
      <c r="Y28" s="17">
        <v>0</v>
      </c>
      <c r="Z28" s="17">
        <v>600.0000</v>
      </c>
      <c r="AA28" s="17">
        <v>0</v>
      </c>
      <c r="AB28" s="17">
        <v>0</v>
      </c>
      <c r="AC28" s="17">
        <v>150.0000</v>
      </c>
      <c r="AD28" s="17">
        <v>0</v>
      </c>
      <c r="AE28" s="17">
        <v>600.0000</v>
      </c>
      <c r="AF28" s="17">
        <v>0</v>
      </c>
      <c r="AG28" s="17">
        <v>150.0000</v>
      </c>
      <c r="AH28" s="17">
        <v>450.0000</v>
      </c>
      <c r="AI28" s="17">
        <v>450.0000</v>
      </c>
      <c r="AJ28" s="17">
        <v>0</v>
      </c>
      <c r="AK28" s="17">
        <v>150.0000</v>
      </c>
      <c r="AL28" s="17">
        <v>150.0000</v>
      </c>
      <c r="AM28" s="17">
        <v>0</v>
      </c>
      <c r="AN28" s="17">
        <v>300.0000</v>
      </c>
      <c r="AO28" s="17">
        <v>0</v>
      </c>
      <c r="AP28" s="17">
        <v>0</v>
      </c>
      <c r="AQ28" s="17">
        <v>300.0000</v>
      </c>
      <c r="AR28" s="17">
        <v>0</v>
      </c>
      <c r="AS28" s="17">
        <v>0</v>
      </c>
      <c r="AT28" s="17">
        <v>0</v>
      </c>
      <c r="AU28" s="17">
        <f ca="1">(((((((((((((((((((((((((((((((((((((((((((((((((((((((B28 + C28) + D28) + 0) + 0) + E28) + F28) + G28) + H28) + I28) + J28) + K28) + L28) + M28) + 0) + N28) + 0) + O28) + P28) + Q28) + R28) + S28) + T28) + 0) + 0) + 0) + U28) + V28) + W28) + X28) + Y28) + Z28) + AA28) + 0) + AB28) + AC28) + AD28) + AE28) + AF28) + AG28) + AH28) + AI28) + AJ28) + AK28) + 0) + AL28) + AM28) + AN28) + AO28) + AP28) + 0) + AQ28) + 0) + AR28) + AS28) + AT28)</f>
        <v>0</v>
      </c>
    </row>
    <row r="29" ht="10.95" customHeight="true" customFormat="true" s="9">
      <c r="A29" s="16" t="s">
        <v>69</v>
      </c>
      <c r="B29" s="17">
        <v>0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20000.0000</v>
      </c>
      <c r="AU29" s="17">
        <f ca="1">(((((((((((((((((((((((((((((((((((((((((((((((((((((((B29 + C29) + D29) + 0) + 0) + E29) + F29) + G29) + H29) + I29) + J29) + K29) + L29) + M29) + 0) + N29) + 0) + O29) + P29) + Q29) + R29) + S29) + T29) + 0) + 0) + 0) + U29) + V29) + W29) + X29) + Y29) + Z29) + AA29) + 0) + AB29) + AC29) + AD29) + AE29) + AF29) + AG29) + AH29) + AI29) + AJ29) + AK29) + 0) + AL29) + AM29) + AN29) + AO29) + AP29) + 0) + AQ29) + 0) + AR29) + AS29) + AT29)</f>
        <v>0</v>
      </c>
    </row>
    <row r="30" ht="10.95" customHeight="true" customFormat="true" s="9">
      <c r="A30" s="16" t="s">
        <v>70</v>
      </c>
      <c r="B30" s="17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0</v>
      </c>
      <c r="AT30" s="17">
        <v>10394.8100</v>
      </c>
      <c r="AU30" s="17">
        <f ca="1">(((((((((((((((((((((((((((((((((((((((((((((((((((((((B30 + C30) + D30) + 0) + 0) + E30) + F30) + G30) + H30) + I30) + J30) + K30) + L30) + M30) + 0) + N30) + 0) + O30) + P30) + Q30) + R30) + S30) + T30) + 0) + 0) + 0) + U30) + V30) + W30) + X30) + Y30) + Z30) + AA30) + 0) + AB30) + AC30) + AD30) + AE30) + AF30) + AG30) + AH30) + AI30) + AJ30) + AK30) + 0) + AL30) + AM30) + AN30) + AO30) + AP30) + 0) + AQ30) + 0) + AR30) + AS30) + AT30)</f>
        <v>0</v>
      </c>
    </row>
    <row r="31" ht="10.95" customHeight="true" customFormat="true" s="9">
      <c r="A31" s="16" t="s">
        <v>71</v>
      </c>
      <c r="B31" s="17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0</v>
      </c>
      <c r="AT31" s="17">
        <v>3760.6900</v>
      </c>
      <c r="AU31" s="17">
        <f ca="1">(((((((((((((((((((((((((((((((((((((((((((((((((((((((B31 + C31) + D31) + 0) + 0) + E31) + F31) + G31) + H31) + I31) + J31) + K31) + L31) + M31) + 0) + N31) + 0) + O31) + P31) + Q31) + R31) + S31) + T31) + 0) + 0) + 0) + U31) + V31) + W31) + X31) + Y31) + Z31) + AA31) + 0) + AB31) + AC31) + AD31) + AE31) + AF31) + AG31) + AH31) + AI31) + AJ31) + AK31) + 0) + AL31) + AM31) + AN31) + AO31) + AP31) + 0) + AQ31) + 0) + AR31) + AS31) + AT31)</f>
        <v>0</v>
      </c>
    </row>
    <row r="32" ht="10.95" customHeight="true" customFormat="true" s="9">
      <c r="A32" s="16" t="s">
        <v>72</v>
      </c>
      <c r="B32" s="17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250.0000</v>
      </c>
      <c r="AU32" s="17">
        <f ca="1">(((((((((((((((((((((((((((((((((((((((((((((((((((((((B32 + C32) + D32) + 0) + 0) + E32) + F32) + G32) + H32) + I32) + J32) + K32) + L32) + M32) + 0) + N32) + 0) + O32) + P32) + Q32) + R32) + S32) + T32) + 0) + 0) + 0) + U32) + V32) + W32) + X32) + Y32) + Z32) + AA32) + 0) + AB32) + AC32) + AD32) + AE32) + AF32) + AG32) + AH32) + AI32) + AJ32) + AK32) + 0) + AL32) + AM32) + AN32) + AO32) + AP32) + 0) + AQ32) + 0) + AR32) + AS32) + AT32)</f>
        <v>0</v>
      </c>
    </row>
    <row r="33" ht="10.95" customHeight="true" customFormat="true" s="9">
      <c r="A33" s="16" t="s">
        <v>73</v>
      </c>
      <c r="B33" s="17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17">
        <v>214600.5200</v>
      </c>
      <c r="AU33" s="17">
        <f ca="1">(((((((((((((((((((((((((((((((((((((((((((((((((((((((B33 + C33) + D33) + 0) + 0) + E33) + F33) + G33) + H33) + I33) + J33) + K33) + L33) + M33) + 0) + N33) + 0) + O33) + P33) + Q33) + R33) + S33) + T33) + 0) + 0) + 0) + U33) + V33) + W33) + X33) + Y33) + Z33) + AA33) + 0) + AB33) + AC33) + AD33) + AE33) + AF33) + AG33) + AH33) + AI33) + AJ33) + AK33) + 0) + AL33) + AM33) + AN33) + AO33) + AP33) + 0) + AQ33) + 0) + AR33) + AS33) + AT33)</f>
        <v>0</v>
      </c>
    </row>
    <row r="34" ht="10.95" customHeight="true" customFormat="true" s="9">
      <c r="A34" s="12" t="s">
        <v>74</v>
      </c>
      <c r="B34" s="13">
        <f ca="1">SUM(B18:B33)</f>
        <v>0</v>
      </c>
      <c r="C34" s="13">
        <f ca="1">SUM(C18:C33)</f>
        <v>0</v>
      </c>
      <c r="D34" s="13">
        <f ca="1">SUM(D18:D33)</f>
        <v>0</v>
      </c>
      <c r="E34" s="13">
        <f ca="1">SUM(E18:E33)</f>
        <v>0</v>
      </c>
      <c r="F34" s="13">
        <f ca="1">SUM(F18:F33)</f>
        <v>0</v>
      </c>
      <c r="G34" s="13">
        <f ca="1">SUM(G18:G33)</f>
        <v>0</v>
      </c>
      <c r="H34" s="13">
        <f ca="1">SUM(H18:H33)</f>
        <v>0</v>
      </c>
      <c r="I34" s="13">
        <f ca="1">SUM(I18:I33)</f>
        <v>0</v>
      </c>
      <c r="J34" s="13">
        <f ca="1">SUM(J18:J33)</f>
        <v>0</v>
      </c>
      <c r="K34" s="13">
        <f ca="1">SUM(K18:K33)</f>
        <v>0</v>
      </c>
      <c r="L34" s="13">
        <f ca="1">SUM(L18:L33)</f>
        <v>0</v>
      </c>
      <c r="M34" s="13">
        <f ca="1">SUM(M18:M33)</f>
        <v>0</v>
      </c>
      <c r="N34" s="13">
        <f ca="1">SUM(N18:N33)</f>
        <v>0</v>
      </c>
      <c r="O34" s="13">
        <f ca="1">SUM(O18:O33)</f>
        <v>0</v>
      </c>
      <c r="P34" s="13">
        <f ca="1">SUM(P18:P33)</f>
        <v>0</v>
      </c>
      <c r="Q34" s="13">
        <f ca="1">SUM(Q18:Q33)</f>
        <v>0</v>
      </c>
      <c r="R34" s="13">
        <f ca="1">SUM(R18:R33)</f>
        <v>0</v>
      </c>
      <c r="S34" s="13">
        <f ca="1">SUM(S18:S33)</f>
        <v>0</v>
      </c>
      <c r="T34" s="13">
        <f ca="1">SUM(T18:T33)</f>
        <v>0</v>
      </c>
      <c r="U34" s="13">
        <f ca="1">SUM(U18:U33)</f>
        <v>0</v>
      </c>
      <c r="V34" s="13">
        <f ca="1">SUM(V18:V33)</f>
        <v>0</v>
      </c>
      <c r="W34" s="13">
        <f ca="1">SUM(W18:W33)</f>
        <v>0</v>
      </c>
      <c r="X34" s="13">
        <f ca="1">SUM(X18:X33)</f>
        <v>0</v>
      </c>
      <c r="Y34" s="13">
        <f ca="1">SUM(Y18:Y33)</f>
        <v>0</v>
      </c>
      <c r="Z34" s="13">
        <f ca="1">SUM(Z18:Z33)</f>
        <v>0</v>
      </c>
      <c r="AA34" s="13">
        <f ca="1">SUM(AA18:AA33)</f>
        <v>0</v>
      </c>
      <c r="AB34" s="13">
        <f ca="1">SUM(AB18:AB33)</f>
        <v>0</v>
      </c>
      <c r="AC34" s="13">
        <f ca="1">SUM(AC18:AC33)</f>
        <v>0</v>
      </c>
      <c r="AD34" s="13">
        <f ca="1">SUM(AD18:AD33)</f>
        <v>0</v>
      </c>
      <c r="AE34" s="13">
        <f ca="1">SUM(AE18:AE33)</f>
        <v>0</v>
      </c>
      <c r="AF34" s="13">
        <f ca="1">SUM(AF18:AF33)</f>
        <v>0</v>
      </c>
      <c r="AG34" s="13">
        <f ca="1">SUM(AG18:AG33)</f>
        <v>0</v>
      </c>
      <c r="AH34" s="13">
        <f ca="1">SUM(AH18:AH33)</f>
        <v>0</v>
      </c>
      <c r="AI34" s="13">
        <f ca="1">SUM(AI18:AI33)</f>
        <v>0</v>
      </c>
      <c r="AJ34" s="13">
        <f ca="1">SUM(AJ18:AJ33)</f>
        <v>0</v>
      </c>
      <c r="AK34" s="13">
        <f ca="1">SUM(AK18:AK33)</f>
        <v>0</v>
      </c>
      <c r="AL34" s="13">
        <f ca="1">SUM(AL18:AL33)</f>
        <v>0</v>
      </c>
      <c r="AM34" s="13">
        <f ca="1">SUM(AM18:AM33)</f>
        <v>0</v>
      </c>
      <c r="AN34" s="13">
        <f ca="1">SUM(AN18:AN33)</f>
        <v>0</v>
      </c>
      <c r="AO34" s="13">
        <f ca="1">SUM(AO18:AO33)</f>
        <v>0</v>
      </c>
      <c r="AP34" s="13">
        <f ca="1">SUM(AP18:AP33)</f>
        <v>0</v>
      </c>
      <c r="AQ34" s="13">
        <f ca="1">SUM(AQ18:AQ33)</f>
        <v>0</v>
      </c>
      <c r="AR34" s="13">
        <f ca="1">SUM(AR18:AR33)</f>
        <v>0</v>
      </c>
      <c r="AS34" s="13">
        <f ca="1">SUM(AS18:AS33)</f>
        <v>0</v>
      </c>
      <c r="AT34" s="13">
        <f ca="1">SUM(AT18:AT33)</f>
        <v>0</v>
      </c>
      <c r="AU34" s="13">
        <f ca="1">(((((((((((((((((((((((((((((((((((((((((((((((((((((((B34 + C34) + D34) + 0) + 0) + E34) + F34) + G34) + H34) + I34) + J34) + K34) + L34) + M34) + 0) + N34) + 0) + O34) + P34) + Q34) + R34) + S34) + T34) + 0) + 0) + 0) + U34) + V34) + W34) + X34) + Y34) + Z34) + AA34) + 0) + AB34) + AC34) + AD34) + AE34) + AF34) + AG34) + AH34) + AI34) + AJ34) + AK34) + 0) + AL34) + AM34) + AN34) + AO34) + AP34) + 0) + AQ34) + 0) + AR34) + AS34) + AT34)</f>
        <v>0</v>
      </c>
    </row>
    <row r="35" ht="13.35" customHeight="true"/>
    <row r="36" ht="10.95" customHeight="true" customFormat="true" s="9">
      <c r="A36" s="14" t="s">
        <v>75</v>
      </c>
      <c r="B36" s="15">
        <f ca="1">((B11 + B15) - B34)</f>
        <v>0</v>
      </c>
      <c r="C36" s="15">
        <f ca="1">((C11 + C15) - C34)</f>
        <v>0</v>
      </c>
      <c r="D36" s="15">
        <f ca="1">((D11 + D15) - D34)</f>
        <v>0</v>
      </c>
      <c r="E36" s="15">
        <f ca="1">((E11 + E15) - E34)</f>
        <v>0</v>
      </c>
      <c r="F36" s="15">
        <f ca="1">((F11 + F15) - F34)</f>
        <v>0</v>
      </c>
      <c r="G36" s="15">
        <f ca="1">((G11 + G15) - G34)</f>
        <v>0</v>
      </c>
      <c r="H36" s="15">
        <f ca="1">((H11 + H15) - H34)</f>
        <v>0</v>
      </c>
      <c r="I36" s="15">
        <f ca="1">((I11 + I15) - I34)</f>
        <v>0</v>
      </c>
      <c r="J36" s="15">
        <f ca="1">((J11 + J15) - J34)</f>
        <v>0</v>
      </c>
      <c r="K36" s="15">
        <f ca="1">((K11 + K15) - K34)</f>
        <v>0</v>
      </c>
      <c r="L36" s="15">
        <f ca="1">((L11 + L15) - L34)</f>
        <v>0</v>
      </c>
      <c r="M36" s="15">
        <f ca="1">((M11 + M15) - M34)</f>
        <v>0</v>
      </c>
      <c r="N36" s="15">
        <f ca="1">((N11 + N15) - N34)</f>
        <v>0</v>
      </c>
      <c r="O36" s="15">
        <f ca="1">((O11 + O15) - O34)</f>
        <v>0</v>
      </c>
      <c r="P36" s="15">
        <f ca="1">((P11 + P15) - P34)</f>
        <v>0</v>
      </c>
      <c r="Q36" s="15">
        <f ca="1">((Q11 + Q15) - Q34)</f>
        <v>0</v>
      </c>
      <c r="R36" s="15">
        <f ca="1">((R11 + R15) - R34)</f>
        <v>0</v>
      </c>
      <c r="S36" s="15">
        <f ca="1">((S11 + S15) - S34)</f>
        <v>0</v>
      </c>
      <c r="T36" s="15">
        <f ca="1">((T11 + T15) - T34)</f>
        <v>0</v>
      </c>
      <c r="U36" s="15">
        <f ca="1">((U11 + U15) - U34)</f>
        <v>0</v>
      </c>
      <c r="V36" s="15">
        <f ca="1">((V11 + V15) - V34)</f>
        <v>0</v>
      </c>
      <c r="W36" s="15">
        <f ca="1">((W11 + W15) - W34)</f>
        <v>0</v>
      </c>
      <c r="X36" s="15">
        <f ca="1">((X11 + X15) - X34)</f>
        <v>0</v>
      </c>
      <c r="Y36" s="15">
        <f ca="1">((Y11 + Y15) - Y34)</f>
        <v>0</v>
      </c>
      <c r="Z36" s="15">
        <f ca="1">((Z11 + Z15) - Z34)</f>
        <v>0</v>
      </c>
      <c r="AA36" s="15">
        <f ca="1">((AA11 + AA15) - AA34)</f>
        <v>0</v>
      </c>
      <c r="AB36" s="15">
        <f ca="1">((AB11 + AB15) - AB34)</f>
        <v>0</v>
      </c>
      <c r="AC36" s="15">
        <f ca="1">((AC11 + AC15) - AC34)</f>
        <v>0</v>
      </c>
      <c r="AD36" s="15">
        <f ca="1">((AD11 + AD15) - AD34)</f>
        <v>0</v>
      </c>
      <c r="AE36" s="15">
        <f ca="1">((AE11 + AE15) - AE34)</f>
        <v>0</v>
      </c>
      <c r="AF36" s="15">
        <f ca="1">((AF11 + AF15) - AF34)</f>
        <v>0</v>
      </c>
      <c r="AG36" s="15">
        <f ca="1">((AG11 + AG15) - AG34)</f>
        <v>0</v>
      </c>
      <c r="AH36" s="15">
        <f ca="1">((AH11 + AH15) - AH34)</f>
        <v>0</v>
      </c>
      <c r="AI36" s="15">
        <f ca="1">((AI11 + AI15) - AI34)</f>
        <v>0</v>
      </c>
      <c r="AJ36" s="15">
        <f ca="1">((AJ11 + AJ15) - AJ34)</f>
        <v>0</v>
      </c>
      <c r="AK36" s="15">
        <f ca="1">((AK11 + AK15) - AK34)</f>
        <v>0</v>
      </c>
      <c r="AL36" s="15">
        <f ca="1">((AL11 + AL15) - AL34)</f>
        <v>0</v>
      </c>
      <c r="AM36" s="15">
        <f ca="1">((AM11 + AM15) - AM34)</f>
        <v>0</v>
      </c>
      <c r="AN36" s="15">
        <f ca="1">((AN11 + AN15) - AN34)</f>
        <v>0</v>
      </c>
      <c r="AO36" s="15">
        <f ca="1">((AO11 + AO15) - AO34)</f>
        <v>0</v>
      </c>
      <c r="AP36" s="15">
        <f ca="1">((AP11 + AP15) - AP34)</f>
        <v>0</v>
      </c>
      <c r="AQ36" s="15">
        <f ca="1">((AQ11 + AQ15) - AQ34)</f>
        <v>0</v>
      </c>
      <c r="AR36" s="15">
        <f ca="1">((AR11 + AR15) - AR34)</f>
        <v>0</v>
      </c>
      <c r="AS36" s="15">
        <f ca="1">((AS11 + AS15) - AS34)</f>
        <v>0</v>
      </c>
      <c r="AT36" s="15">
        <f ca="1">((AT11 + AT15) - AT34)</f>
        <v>0</v>
      </c>
      <c r="AU36" s="15">
        <f ca="1">(((((((((((((((((((((((((((((((((((((((((((((((((((((((B36 + C36) + D36) + 0) + 0) + E36) + F36) + G36) + H36) + I36) + J36) + K36) + L36) + M36) + 0) + N36) + 0) + O36) + P36) + Q36) + R36) + S36) + T36) + 0) + 0) + 0) + U36) + V36) + W36) + X36) + Y36) + Z36) + AA36) + 0) + AB36) + AC36) + AD36) + AE36) + AF36) + AG36) + AH36) + AI36) + AJ36) + AK36) + 0) + AL36) + AM36) + AN36) + AO36) + AP36) + 0) + AQ36) + 0) + AR36) + AS36) + AT36)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